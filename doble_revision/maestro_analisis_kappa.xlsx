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usar" sheetId="1" state="visible" r:id="rId3"/>
    <sheet name="R1 respuestas" sheetId="2" state="visible" r:id="rId4"/>
    <sheet name="R2 respuestas" sheetId="3" state="visible" r:id="rId5"/>
    <sheet name="Análisis" sheetId="4" state="visible" r:id="rId6"/>
    <sheet name="IC bootstra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<sst xmlns="http://schemas.openxmlformats.org/spreadsheetml/2006/main" count="97" uniqueCount="77">
  <si>
    <t xml:space="preserve">Archivo maestro — solo para el coordinador (Gabriel). NO enviarlo a los revisores.</t>
  </si>
  <si>
    <t xml:space="preserve">1. Cuando ambos revisores entreguen, copia «Causa (A–G)» (E2:E29) de cada uno y pégala como VALORES en la columna amarilla</t>
  </si>
  <si>
    <t xml:space="preserve">   de «R1 respuestas» y «R2 respuestas» (Confianza y Notas son opcionales).</t>
  </si>
  <si>
    <t xml:space="preserve">2. Revisa «Análisis». Si aparece «INVÁLIDO», corrige ese código: solo se aceptan A, B, C, D, E, F o G.</t>
  </si>
  <si>
    <t xml:space="preserve">3. Registra el kappa y su IC 95 % ANTES del consenso: es la medida de confiabilidad.</t>
  </si>
  <si>
    <t xml:space="preserve">4. Discutan los eventos marcados «no» y escriban la causa final en «Consenso».</t>
  </si>
  <si>
    <t xml:space="preserve">5. El estudio está cerrado cuando «Estado» dice CERRADO: 28 respuestas válidas por revisor y 0 desacuerdos sin consenso.</t>
  </si>
  <si>
    <t xml:space="preserve">Intervalo de confianza (resultado principal = bootstrap):</t>
  </si>
  <si>
    <t xml:space="preserve">• Ejecuta: python kappa_bootstrap.py maestro_analisis_kappa.xlsx  → escribe kappa e IC 95 % en la hoja «IC bootstrap». Ese es el que va al paper.</t>
  </si>
  <si>
    <t xml:space="preserve">• La sección «Comprobación opcional» de «Análisis» (Fleiss, Cohen y Everitt 1969; verificada contra statsmodels) es solo un control.</t>
  </si>
  <si>
    <t xml:space="preserve">• Si todos los eventos caen en una sola causa y ambos coinciden, el kappa es indefinido (pe = 1): se reporta solo el acuerdo observado.</t>
  </si>
  <si>
    <t xml:space="preserve">• Los rangos de interpretación del kappa (p. ej., 0,61–0,80 «sustancial», Landis y Koch 1977) son orientativos.</t>
  </si>
  <si>
    <t xml:space="preserve">Evento</t>
  </si>
  <si>
    <t xml:space="preserve">Causa (pegar)</t>
  </si>
  <si>
    <t xml:space="preserve">Confianza (pegar)</t>
  </si>
  <si>
    <t xml:space="preserve">Notas (pegar)</t>
  </si>
  <si>
    <t xml:space="preserve">Revisor 1</t>
  </si>
  <si>
    <t xml:space="preserve">Revisor 2</t>
  </si>
  <si>
    <t xml:space="preserve">¿Coinciden?</t>
  </si>
  <si>
    <t xml:space="preserve">Consenso (escribir)</t>
  </si>
  <si>
    <t xml:space="preserve">Pendiente</t>
  </si>
  <si>
    <t xml:space="preserve">Causa final</t>
  </si>
  <si>
    <t xml:space="preserve">Estado del estudio</t>
  </si>
  <si>
    <t xml:space="preserve">Respuestas válidas Revisor 1</t>
  </si>
  <si>
    <t xml:space="preserve">Respuestas válidas Revisor 2</t>
  </si>
  <si>
    <t xml:space="preserve">Códigos inválidos</t>
  </si>
  <si>
    <t xml:space="preserve">Desacuerdos sin consenso</t>
  </si>
  <si>
    <t xml:space="preserve">Consensos con código inválido</t>
  </si>
  <si>
    <t xml:space="preserve">Eventos con causa final válida</t>
  </si>
  <si>
    <t xml:space="preserve">Estado</t>
  </si>
  <si>
    <t xml:space="preserve">Confiabilidad (respuestas originales, antes del consenso)</t>
  </si>
  <si>
    <t xml:space="preserve">Eventos con ambas respuestas válidas (n)</t>
  </si>
  <si>
    <t xml:space="preserve">Coincidencias</t>
  </si>
  <si>
    <t xml:space="preserve">Acuerdo observado (po)</t>
  </si>
  <si>
    <t xml:space="preserve">Acuerdo esperado al azar (pe)</t>
  </si>
  <si>
    <t xml:space="preserve">Kappa de Cohen</t>
  </si>
  <si>
    <t xml:space="preserve">IC 95 % para el paper: ver hoja «IC bootstrap» (kappa_bootstrap.py)</t>
  </si>
  <si>
    <t xml:space="preserve">Comprobación opcional — NO reportar como resultado principal</t>
  </si>
  <si>
    <t xml:space="preserve">Error estándar (Fleiss, Cohen y Everitt 1969)</t>
  </si>
  <si>
    <t xml:space="preserve">IC 95 % inferior (asintótico)</t>
  </si>
  <si>
    <t xml:space="preserve">IC 95 % superior (asintótico)</t>
  </si>
  <si>
    <t xml:space="preserve">Matriz de confusión (filas: Revisor 1; columnas: Revisor 2)</t>
  </si>
  <si>
    <t xml:space="preserve">Términos de la varianza de Fleiss (auxiliar)</t>
  </si>
  <si>
    <t xml:space="preserve">R1 \ R2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</si>
  <si>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</si>
  <si>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</si>
  <si>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</si>
  <si>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</si>
  <si>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</si>
  <si>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</si>
  <si>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</si>
  <si>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Total R1</t>
  </si>
  <si>
    <t xml:space="preserve">pi·pj (pe)</t>
  </si>
  <si>
    <t xml:space="preserve">A. Vehículo que se cruza o se cierra delante</t>
  </si>
  <si>
    <t xml:space="preserve">B. Vehículo adyacente que pasa muy cerca</t>
  </si>
  <si>
    <t xml:space="preserve">C. Objetos fijos al borde de la vía</t>
  </si>
  <si>
    <t xml:space="preserve">D. Giro o curva del vehículo propio</t>
  </si>
  <si>
    <t xml:space="preserve">E. Paso a desnivel o cambio de luz</t>
  </si>
  <si>
    <t xml:space="preserve">F. Marcas pintadas en la pista</t>
  </si>
  <si>
    <t xml:space="preserve">G. Otra o no determinable</t>
  </si>
  <si>
    <t xml:space="preserve">Total R2</t>
  </si>
  <si>
    <t xml:space="preserve">Distribución final (tras consenso)</t>
  </si>
  <si>
    <t xml:space="preserve">Causa</t>
  </si>
  <si>
    <t xml:space="preserve">Eventos</t>
  </si>
  <si>
    <t xml:space="preserve">% de eventos finales</t>
  </si>
  <si>
    <t xml:space="preserve">Causa final = consenso si se escribió; si no, la causa coincidente. Solo cuenta si el evento no tiene pendientes.</t>
  </si>
  <si>
    <t xml:space="preserve">Se llena al ejecutar kappa_bootstrap.py (no editar a mano)</t>
  </si>
  <si>
    <t xml:space="preserve">Fecha de cálculo</t>
  </si>
  <si>
    <t xml:space="preserve">—</t>
  </si>
  <si>
    <t xml:space="preserve">n eventos</t>
  </si>
  <si>
    <t xml:space="preserve">Acuerdo observado</t>
  </si>
  <si>
    <t xml:space="preserve">Kappa</t>
  </si>
  <si>
    <t xml:space="preserve">IC 95 % inferior</t>
  </si>
  <si>
    <t xml:space="preserve">IC 95 % superior</t>
  </si>
  <si>
    <t xml:space="preserve">Réplicas válidas</t>
  </si>
  <si>
    <t xml:space="preserve">Método</t>
  </si>
  <si>
    <t xml:space="preserve">Frase para el paper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</si>
</sst>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%"/>
    <numFmt numFmtId="167" formatCode="0.00"/>
    <numFmt numFmtId="168" formatCode="0.000"/>
    <numFmt numFmtId="169" formatCode="0.0000"/>
    <numFmt numFmtId="170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FF4CC"/>
        <bgColor rgb="FFE2F0D9"/>
      </patternFill>
    </fill>
    <fill>
      <patternFill patternType="solid">
        <fgColor rgb="FFE2F0D9"/>
        <bgColor rgb="FFFFF4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0C8"/>
      </left>
      <right style="thin">
        <color rgb="FFB7C0C8"/>
      </right>
      <top style="thin">
        <color rgb="FFB7C0C8"/>
      </top>
      <bottom style="thin">
        <color rgb="FFB7C0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FFF4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0C8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60"/>
  </cols>
  <sheetData>
    <row r="1" customFormat="false" ht="26.85" hidden="false" customHeight="false" outlineLevel="0" collapsed="false">
      <c r="A1" s="3" t="s">
        <v>12</v>
      </c>
      <c r="B1" s="3" t="s">
        <v>13</v>
      </c>
      <c r="C1" s="3" t="s">
        <v>14</v>
      </c>
      <c r="D1" s="3" t="s">
        <v>15</v>
      </c>
    </row>
    <row r="2" customFormat="false" ht="15" hidden="false" customHeight="false" outlineLevel="0" collapsed="false">
      <c r="A2" s="2" t="n">
        <v>1</v>
      </c>
      <c r="B2" s="4"/>
      <c r="C2" s="4"/>
      <c r="D2" s="4"/>
    </row>
    <row r="3" customFormat="false" ht="15" hidden="false" customHeight="false" outlineLevel="0" collapsed="false">
      <c r="A3" s="2" t="n">
        <v>2</v>
      </c>
      <c r="B3" s="4"/>
      <c r="C3" s="4"/>
      <c r="D3" s="4"/>
    </row>
    <row r="4" customFormat="false" ht="15" hidden="false" customHeight="false" outlineLevel="0" collapsed="false">
      <c r="A4" s="2" t="n">
        <v>3</v>
      </c>
      <c r="B4" s="4"/>
      <c r="C4" s="4"/>
      <c r="D4" s="4"/>
    </row>
    <row r="5" customFormat="false" ht="15" hidden="false" customHeight="false" outlineLevel="0" collapsed="false">
      <c r="A5" s="2" t="n">
        <v>4</v>
      </c>
      <c r="B5" s="4"/>
      <c r="C5" s="4"/>
      <c r="D5" s="4"/>
    </row>
    <row r="6" customFormat="false" ht="15" hidden="false" customHeight="false" outlineLevel="0" collapsed="false">
      <c r="A6" s="2" t="n">
        <v>5</v>
      </c>
      <c r="B6" s="4"/>
      <c r="C6" s="4"/>
      <c r="D6" s="4"/>
    </row>
    <row r="7" customFormat="false" ht="15" hidden="false" customHeight="false" outlineLevel="0" collapsed="false">
      <c r="A7" s="2" t="n">
        <v>6</v>
      </c>
      <c r="B7" s="4"/>
      <c r="C7" s="4"/>
      <c r="D7" s="4"/>
    </row>
    <row r="8" customFormat="false" ht="15" hidden="false" customHeight="false" outlineLevel="0" collapsed="false">
      <c r="A8" s="2" t="n">
        <v>7</v>
      </c>
      <c r="B8" s="4"/>
      <c r="C8" s="4"/>
      <c r="D8" s="4"/>
    </row>
    <row r="9" customFormat="false" ht="15" hidden="false" customHeight="false" outlineLevel="0" collapsed="false">
      <c r="A9" s="2" t="n">
        <v>8</v>
      </c>
      <c r="B9" s="4"/>
      <c r="C9" s="4"/>
      <c r="D9" s="4"/>
    </row>
    <row r="10" customFormat="false" ht="15" hidden="false" customHeight="false" outlineLevel="0" collapsed="false">
      <c r="A10" s="2" t="n">
        <v>9</v>
      </c>
      <c r="B10" s="4"/>
      <c r="C10" s="4"/>
      <c r="D10" s="4"/>
    </row>
    <row r="11" customFormat="false" ht="15" hidden="false" customHeight="false" outlineLevel="0" collapsed="false">
      <c r="A11" s="2" t="n">
        <v>10</v>
      </c>
      <c r="B11" s="4"/>
      <c r="C11" s="4"/>
      <c r="D11" s="4"/>
    </row>
    <row r="12" customFormat="false" ht="15" hidden="false" customHeight="false" outlineLevel="0" collapsed="false">
      <c r="A12" s="2" t="n">
        <v>11</v>
      </c>
      <c r="B12" s="4"/>
      <c r="C12" s="4"/>
      <c r="D12" s="4"/>
    </row>
    <row r="13" customFormat="false" ht="15" hidden="false" customHeight="false" outlineLevel="0" collapsed="false">
      <c r="A13" s="2" t="n">
        <v>12</v>
      </c>
      <c r="B13" s="4"/>
      <c r="C13" s="4"/>
      <c r="D13" s="4"/>
    </row>
    <row r="14" customFormat="false" ht="15" hidden="false" customHeight="false" outlineLevel="0" collapsed="false">
      <c r="A14" s="2" t="n">
        <v>13</v>
      </c>
      <c r="B14" s="4"/>
      <c r="C14" s="4"/>
      <c r="D14" s="4"/>
    </row>
    <row r="15" customFormat="false" ht="15" hidden="false" customHeight="false" outlineLevel="0" collapsed="false">
      <c r="A15" s="2" t="n">
        <v>14</v>
      </c>
      <c r="B15" s="4"/>
      <c r="C15" s="4"/>
      <c r="D15" s="4"/>
    </row>
    <row r="16" customFormat="false" ht="15" hidden="false" customHeight="false" outlineLevel="0" collapsed="false">
      <c r="A16" s="2" t="n">
        <v>15</v>
      </c>
      <c r="B16" s="4"/>
      <c r="C16" s="4"/>
      <c r="D16" s="4"/>
    </row>
    <row r="17" customFormat="false" ht="15" hidden="false" customHeight="false" outlineLevel="0" collapsed="false">
      <c r="A17" s="2" t="n">
        <v>16</v>
      </c>
      <c r="B17" s="4"/>
      <c r="C17" s="4"/>
      <c r="D17" s="4"/>
    </row>
    <row r="18" customFormat="false" ht="15" hidden="false" customHeight="false" outlineLevel="0" collapsed="false">
      <c r="A18" s="2" t="n">
        <v>17</v>
      </c>
      <c r="B18" s="4"/>
      <c r="C18" s="4"/>
      <c r="D18" s="4"/>
    </row>
    <row r="19" customFormat="false" ht="15" hidden="false" customHeight="false" outlineLevel="0" collapsed="false">
      <c r="A19" s="2" t="n">
        <v>18</v>
      </c>
      <c r="B19" s="4"/>
      <c r="C19" s="4"/>
      <c r="D19" s="4"/>
    </row>
    <row r="20" customFormat="false" ht="15" hidden="false" customHeight="false" outlineLevel="0" collapsed="false">
      <c r="A20" s="2" t="n">
        <v>19</v>
      </c>
      <c r="B20" s="4"/>
      <c r="C20" s="4"/>
      <c r="D20" s="4"/>
    </row>
    <row r="21" customFormat="false" ht="15" hidden="false" customHeight="false" outlineLevel="0" collapsed="false">
      <c r="A21" s="2" t="n">
        <v>20</v>
      </c>
      <c r="B21" s="4"/>
      <c r="C21" s="4"/>
      <c r="D21" s="4"/>
    </row>
    <row r="22" customFormat="false" ht="15" hidden="false" customHeight="false" outlineLevel="0" collapsed="false">
      <c r="A22" s="2" t="n">
        <v>21</v>
      </c>
      <c r="B22" s="4"/>
      <c r="C22" s="4"/>
      <c r="D22" s="4"/>
    </row>
    <row r="23" customFormat="false" ht="15" hidden="false" customHeight="false" outlineLevel="0" collapsed="false">
      <c r="A23" s="2" t="n">
        <v>22</v>
      </c>
      <c r="B23" s="4"/>
      <c r="C23" s="4"/>
      <c r="D23" s="4"/>
    </row>
    <row r="24" customFormat="false" ht="15" hidden="false" customHeight="false" outlineLevel="0" collapsed="false">
      <c r="A24" s="2" t="n">
        <v>23</v>
      </c>
      <c r="B24" s="4"/>
      <c r="C24" s="4"/>
      <c r="D24" s="4"/>
    </row>
    <row r="25" customFormat="false" ht="15" hidden="false" customHeight="false" outlineLevel="0" collapsed="false">
      <c r="A25" s="2" t="n">
        <v>24</v>
      </c>
      <c r="B25" s="4"/>
      <c r="C25" s="4"/>
      <c r="D25" s="4"/>
    </row>
    <row r="26" customFormat="false" ht="15" hidden="false" customHeight="false" outlineLevel="0" collapsed="false">
      <c r="A26" s="2" t="n">
        <v>25</v>
      </c>
      <c r="B26" s="4"/>
      <c r="C26" s="4"/>
      <c r="D26" s="4"/>
    </row>
    <row r="27" customFormat="false" ht="15" hidden="false" customHeight="false" outlineLevel="0" collapsed="false">
      <c r="A27" s="2" t="n">
        <v>26</v>
      </c>
      <c r="B27" s="4"/>
      <c r="C27" s="4"/>
      <c r="D27" s="4"/>
    </row>
    <row r="28" customFormat="false" ht="15" hidden="false" customHeight="false" outlineLevel="0" collapsed="false">
      <c r="A28" s="2" t="n">
        <v>27</v>
      </c>
      <c r="B28" s="4"/>
      <c r="C28" s="4"/>
      <c r="D28" s="4"/>
    </row>
    <row r="29" customFormat="false" ht="15" hidden="false" customHeight="false" outlineLevel="0" collapsed="false">
      <c r="A29" s="2" t="n">
        <v>28</v>
      </c>
      <c r="B29" s="4"/>
      <c r="C29" s="4"/>
      <c r="D29" s="4"/>
    </row>
  </sheetData>
  <dataValidations count="1">
    <dataValidation allowBlank="true" error="Solo A–G." errorStyle="stop" operator="between" showDropDown="false" showErrorMessage="true" showInputMessage="false" sqref="B2:B29" type="list">
      <formula1>"A,B,C,D,E,F,G"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60"/>
  </cols>
  <sheetData>
    <row r="1" customFormat="false" ht="26.85" hidden="false" customHeight="false" outlineLevel="0" collapsed="false">
      <c r="A1" s="3" t="s">
        <v>12</v>
      </c>
      <c r="B1" s="3" t="s">
        <v>13</v>
      </c>
      <c r="C1" s="3" t="s">
        <v>14</v>
      </c>
      <c r="D1" s="3" t="s">
        <v>15</v>
      </c>
    </row>
    <row r="2" customFormat="false" ht="15" hidden="false" customHeight="false" outlineLevel="0" collapsed="false">
      <c r="A2" s="2" t="n">
        <v>1</v>
      </c>
      <c r="B2" s="4"/>
      <c r="C2" s="4"/>
      <c r="D2" s="4"/>
    </row>
    <row r="3" customFormat="false" ht="15" hidden="false" customHeight="false" outlineLevel="0" collapsed="false">
      <c r="A3" s="2" t="n">
        <v>2</v>
      </c>
      <c r="B3" s="4"/>
      <c r="C3" s="4"/>
      <c r="D3" s="4"/>
    </row>
    <row r="4" customFormat="false" ht="15" hidden="false" customHeight="false" outlineLevel="0" collapsed="false">
      <c r="A4" s="2" t="n">
        <v>3</v>
      </c>
      <c r="B4" s="4"/>
      <c r="C4" s="4"/>
      <c r="D4" s="4"/>
    </row>
    <row r="5" customFormat="false" ht="15" hidden="false" customHeight="false" outlineLevel="0" collapsed="false">
      <c r="A5" s="2" t="n">
        <v>4</v>
      </c>
      <c r="B5" s="4"/>
      <c r="C5" s="4"/>
      <c r="D5" s="4"/>
    </row>
    <row r="6" customFormat="false" ht="15" hidden="false" customHeight="false" outlineLevel="0" collapsed="false">
      <c r="A6" s="2" t="n">
        <v>5</v>
      </c>
      <c r="B6" s="4"/>
      <c r="C6" s="4"/>
      <c r="D6" s="4"/>
    </row>
    <row r="7" customFormat="false" ht="15" hidden="false" customHeight="false" outlineLevel="0" collapsed="false">
      <c r="A7" s="2" t="n">
        <v>6</v>
      </c>
      <c r="B7" s="4"/>
      <c r="C7" s="4"/>
      <c r="D7" s="4"/>
    </row>
    <row r="8" customFormat="false" ht="15" hidden="false" customHeight="false" outlineLevel="0" collapsed="false">
      <c r="A8" s="2" t="n">
        <v>7</v>
      </c>
      <c r="B8" s="4"/>
      <c r="C8" s="4"/>
      <c r="D8" s="4"/>
    </row>
    <row r="9" customFormat="false" ht="15" hidden="false" customHeight="false" outlineLevel="0" collapsed="false">
      <c r="A9" s="2" t="n">
        <v>8</v>
      </c>
      <c r="B9" s="4"/>
      <c r="C9" s="4"/>
      <c r="D9" s="4"/>
    </row>
    <row r="10" customFormat="false" ht="15" hidden="false" customHeight="false" outlineLevel="0" collapsed="false">
      <c r="A10" s="2" t="n">
        <v>9</v>
      </c>
      <c r="B10" s="4"/>
      <c r="C10" s="4"/>
      <c r="D10" s="4"/>
    </row>
    <row r="11" customFormat="false" ht="15" hidden="false" customHeight="false" outlineLevel="0" collapsed="false">
      <c r="A11" s="2" t="n">
        <v>10</v>
      </c>
      <c r="B11" s="4"/>
      <c r="C11" s="4"/>
      <c r="D11" s="4"/>
    </row>
    <row r="12" customFormat="false" ht="15" hidden="false" customHeight="false" outlineLevel="0" collapsed="false">
      <c r="A12" s="2" t="n">
        <v>11</v>
      </c>
      <c r="B12" s="4"/>
      <c r="C12" s="4"/>
      <c r="D12" s="4"/>
    </row>
    <row r="13" customFormat="false" ht="15" hidden="false" customHeight="false" outlineLevel="0" collapsed="false">
      <c r="A13" s="2" t="n">
        <v>12</v>
      </c>
      <c r="B13" s="4"/>
      <c r="C13" s="4"/>
      <c r="D13" s="4"/>
    </row>
    <row r="14" customFormat="false" ht="15" hidden="false" customHeight="false" outlineLevel="0" collapsed="false">
      <c r="A14" s="2" t="n">
        <v>13</v>
      </c>
      <c r="B14" s="4"/>
      <c r="C14" s="4"/>
      <c r="D14" s="4"/>
    </row>
    <row r="15" customFormat="false" ht="15" hidden="false" customHeight="false" outlineLevel="0" collapsed="false">
      <c r="A15" s="2" t="n">
        <v>14</v>
      </c>
      <c r="B15" s="4"/>
      <c r="C15" s="4"/>
      <c r="D15" s="4"/>
    </row>
    <row r="16" customFormat="false" ht="15" hidden="false" customHeight="false" outlineLevel="0" collapsed="false">
      <c r="A16" s="2" t="n">
        <v>15</v>
      </c>
      <c r="B16" s="4"/>
      <c r="C16" s="4"/>
      <c r="D16" s="4"/>
    </row>
    <row r="17" customFormat="false" ht="15" hidden="false" customHeight="false" outlineLevel="0" collapsed="false">
      <c r="A17" s="2" t="n">
        <v>16</v>
      </c>
      <c r="B17" s="4"/>
      <c r="C17" s="4"/>
      <c r="D17" s="4"/>
    </row>
    <row r="18" customFormat="false" ht="15" hidden="false" customHeight="false" outlineLevel="0" collapsed="false">
      <c r="A18" s="2" t="n">
        <v>17</v>
      </c>
      <c r="B18" s="4"/>
      <c r="C18" s="4"/>
      <c r="D18" s="4"/>
    </row>
    <row r="19" customFormat="false" ht="15" hidden="false" customHeight="false" outlineLevel="0" collapsed="false">
      <c r="A19" s="2" t="n">
        <v>18</v>
      </c>
      <c r="B19" s="4"/>
      <c r="C19" s="4"/>
      <c r="D19" s="4"/>
    </row>
    <row r="20" customFormat="false" ht="15" hidden="false" customHeight="false" outlineLevel="0" collapsed="false">
      <c r="A20" s="2" t="n">
        <v>19</v>
      </c>
      <c r="B20" s="4"/>
      <c r="C20" s="4"/>
      <c r="D20" s="4"/>
    </row>
    <row r="21" customFormat="false" ht="15" hidden="false" customHeight="false" outlineLevel="0" collapsed="false">
      <c r="A21" s="2" t="n">
        <v>20</v>
      </c>
      <c r="B21" s="4"/>
      <c r="C21" s="4"/>
      <c r="D21" s="4"/>
    </row>
    <row r="22" customFormat="false" ht="15" hidden="false" customHeight="false" outlineLevel="0" collapsed="false">
      <c r="A22" s="2" t="n">
        <v>21</v>
      </c>
      <c r="B22" s="4"/>
      <c r="C22" s="4"/>
      <c r="D22" s="4"/>
    </row>
    <row r="23" customFormat="false" ht="15" hidden="false" customHeight="false" outlineLevel="0" collapsed="false">
      <c r="A23" s="2" t="n">
        <v>22</v>
      </c>
      <c r="B23" s="4"/>
      <c r="C23" s="4"/>
      <c r="D23" s="4"/>
    </row>
    <row r="24" customFormat="false" ht="15" hidden="false" customHeight="false" outlineLevel="0" collapsed="false">
      <c r="A24" s="2" t="n">
        <v>23</v>
      </c>
      <c r="B24" s="4"/>
      <c r="C24" s="4"/>
      <c r="D24" s="4"/>
    </row>
    <row r="25" customFormat="false" ht="15" hidden="false" customHeight="false" outlineLevel="0" collapsed="false">
      <c r="A25" s="2" t="n">
        <v>24</v>
      </c>
      <c r="B25" s="4"/>
      <c r="C25" s="4"/>
      <c r="D25" s="4"/>
    </row>
    <row r="26" customFormat="false" ht="15" hidden="false" customHeight="false" outlineLevel="0" collapsed="false">
      <c r="A26" s="2" t="n">
        <v>25</v>
      </c>
      <c r="B26" s="4"/>
      <c r="C26" s="4"/>
      <c r="D26" s="4"/>
    </row>
    <row r="27" customFormat="false" ht="15" hidden="false" customHeight="false" outlineLevel="0" collapsed="false">
      <c r="A27" s="2" t="n">
        <v>26</v>
      </c>
      <c r="B27" s="4"/>
      <c r="C27" s="4"/>
      <c r="D27" s="4"/>
    </row>
    <row r="28" customFormat="false" ht="15" hidden="false" customHeight="false" outlineLevel="0" collapsed="false">
      <c r="A28" s="2" t="n">
        <v>27</v>
      </c>
      <c r="B28" s="4"/>
      <c r="C28" s="4"/>
      <c r="D28" s="4"/>
    </row>
    <row r="29" customFormat="false" ht="15" hidden="false" customHeight="false" outlineLevel="0" collapsed="false">
      <c r="A29" s="2" t="n">
        <v>28</v>
      </c>
      <c r="B29" s="4"/>
      <c r="C29" s="4"/>
      <c r="D29" s="4"/>
    </row>
  </sheetData>
  <dataValidations count="1">
    <dataValidation allowBlank="true" error="Solo A–G." errorStyle="stop" operator="between" showDropDown="false" showErrorMessage="true" showInputMessage="false" sqref="B2:B29" type="list">
      <formula1>"A,B,C,D,E,F,G"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9"/>
    <col collapsed="false" customWidth="true" hidden="false" outlineLevel="0" max="7" min="7" style="0" width="11"/>
    <col collapsed="false" customWidth="true" hidden="false" outlineLevel="0" max="8" min="8" style="0" width="44"/>
    <col collapsed="false" customWidth="true" hidden="false" outlineLevel="0" max="9" min="9" style="0" width="7"/>
    <col collapsed="false" customWidth="true" hidden="false" outlineLevel="0" max="10" min="10" style="0" width="18"/>
    <col collapsed="false" customWidth="true" hidden="false" outlineLevel="0" max="15" min="11" style="0" width="7"/>
  </cols>
  <sheetData>
    <row r="1" customFormat="false" ht="26.85" hidden="false" customHeight="false" outlineLevel="0" collapsed="false">
      <c r="A1" s="3" t="s">
        <v>12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1" t="s">
        <v>22</v>
      </c>
    </row>
    <row r="2" customFormat="false" ht="15" hidden="false" customHeight="false" outlineLevel="0" collapsed="false">
      <c r="A2" s="5" t="n">
        <f aca="false">'R1 respuestas'!A2</f>
        <v>1</v>
      </c>
      <c r="B2" s="6" t="str">
        <f aca="false">IF(TRIM('R1 respuestas'!B2)="","",IF(ISNUMBER(SEARCH("|"&amp;UPPER(TRIM('R1 respuestas'!B2))&amp;"|","|A|B|C|D|E|F|G|")),UPPER(TRIM('R1 respuestas'!B2)),"INVÁLIDO"))</f>
        <v/>
      </c>
      <c r="C2" s="6" t="str">
        <f aca="false">IF(TRIM('R2 respuestas'!B2)="","",IF(ISNUMBER(SEARCH("|"&amp;UPPER(TRIM('R2 respuestas'!B2))&amp;"|","|A|B|C|D|E|F|G|")),UPPER(TRIM('R2 respuestas'!B2)),"INVÁLIDO"))</f>
        <v/>
      </c>
      <c r="D2" s="6" t="str">
        <f aca="false">IF(OR(B2="",C2="",B2="INVÁLIDO",C2="INVÁLIDO"),"",IF(B2=C2,"sí","no"))</f>
        <v/>
      </c>
      <c r="E2" s="4"/>
      <c r="F2" s="6" t="str">
        <f aca="false">IF(OR(B2="",C2=""),"FALTA RESPUESTA",IF(OR(B2="INVÁLIDO",C2="INVÁLIDO"),"CÓDIGO INVÁLIDO",IF(IF(TRIM(E2)="","",IF(ISNUMBER(SEARCH("|"&amp;UPPER(TRIM(E2))&amp;"|","|A|B|C|D|E|F|G|")),UPPER(TRIM(E2)),"INVÁLIDO"))="INVÁLIDO","CONSENSO INVÁLIDO",IF(AND(D2="no",IF(TRIM(E2)="","",IF(ISNUMBER(SEARCH("|"&amp;UPPER(TRIM(E2))&amp;"|","|A|B|C|D|E|F|G|")),UPPER(TRIM(E2)),"INVÁLIDO"))=""),"FALTA CONSENSO",""))))</f>
        <v>FALTA RESPUESTA</v>
      </c>
      <c r="G2" s="5" t="str">
        <f aca="false">IF(F2&lt;&gt;"","",IF(IF(TRIM(E2)="","",IF(ISNUMBER(SEARCH("|"&amp;UPPER(TRIM(E2))&amp;"|","|A|B|C|D|E|F|G|")),UPPER(TRIM(E2)),"INVÁLIDO"))&lt;&gt;"",IF(TRIM(E2)="","",IF(ISNUMBER(SEARCH("|"&amp;UPPER(TRIM(E2))&amp;"|","|A|B|C|D|E|F|G|")),UPPER(TRIM(E2)),"INVÁLIDO")),B2))</f>
        <v/>
      </c>
      <c r="H2" s="2" t="s">
        <v>23</v>
      </c>
      <c r="I2" s="2" t="n">
        <f aca="false">SUMPRODUCT(--ISNUMBER(MATCH(B2:B29,{"A","B","C","D","E","F","G"},0)))</f>
        <v>0</v>
      </c>
    </row>
    <row r="3" customFormat="false" ht="15" hidden="false" customHeight="false" outlineLevel="0" collapsed="false">
      <c r="A3" s="5" t="n">
        <f aca="false">'R1 respuestas'!A3</f>
        <v>2</v>
      </c>
      <c r="B3" s="6" t="str">
        <f aca="false">IF(TRIM('R1 respuestas'!B3)="","",IF(ISNUMBER(SEARCH("|"&amp;UPPER(TRIM('R1 respuestas'!B3))&amp;"|","|A|B|C|D|E|F|G|")),UPPER(TRIM('R1 respuestas'!B3)),"INVÁLIDO"))</f>
        <v/>
      </c>
      <c r="C3" s="6" t="str">
        <f aca="false">IF(TRIM('R2 respuestas'!B3)="","",IF(ISNUMBER(SEARCH("|"&amp;UPPER(TRIM('R2 respuestas'!B3))&amp;"|","|A|B|C|D|E|F|G|")),UPPER(TRIM('R2 respuestas'!B3)),"INVÁLIDO"))</f>
        <v/>
      </c>
      <c r="D3" s="6" t="str">
        <f aca="false">IF(OR(B3="",C3="",B3="INVÁLIDO",C3="INVÁLIDO"),"",IF(B3=C3,"sí","no"))</f>
        <v/>
      </c>
      <c r="E3" s="4"/>
      <c r="F3" s="6" t="str">
        <f aca="false">IF(OR(B3="",C3=""),"FALTA RESPUESTA",IF(OR(B3="INVÁLIDO",C3="INVÁLIDO"),"CÓDIGO INVÁLIDO",IF(IF(TRIM(E3)="","",IF(ISNUMBER(SEARCH("|"&amp;UPPER(TRIM(E3))&amp;"|","|A|B|C|D|E|F|G|")),UPPER(TRIM(E3)),"INVÁLIDO"))="INVÁLIDO","CONSENSO INVÁLIDO",IF(AND(D3="no",IF(TRIM(E3)="","",IF(ISNUMBER(SEARCH("|"&amp;UPPER(TRIM(E3))&amp;"|","|A|B|C|D|E|F|G|")),UPPER(TRIM(E3)),"INVÁLIDO"))=""),"FALTA CONSENSO",""))))</f>
        <v>FALTA RESPUESTA</v>
      </c>
      <c r="G3" s="5" t="str">
        <f aca="false">IF(F3&lt;&gt;"","",IF(IF(TRIM(E3)="","",IF(ISNUMBER(SEARCH("|"&amp;UPPER(TRIM(E3))&amp;"|","|A|B|C|D|E|F|G|")),UPPER(TRIM(E3)),"INVÁLIDO"))&lt;&gt;"",IF(TRIM(E3)="","",IF(ISNUMBER(SEARCH("|"&amp;UPPER(TRIM(E3))&amp;"|","|A|B|C|D|E|F|G|")),UPPER(TRIM(E3)),"INVÁLIDO")),B3))</f>
        <v/>
      </c>
      <c r="H3" s="2" t="s">
        <v>24</v>
      </c>
      <c r="I3" s="2" t="n">
        <f aca="false">SUMPRODUCT(--ISNUMBER(MATCH(C2:C29,{"A","B","C","D","E","F","G"},0)))</f>
        <v>0</v>
      </c>
    </row>
    <row r="4" customFormat="false" ht="15" hidden="false" customHeight="false" outlineLevel="0" collapsed="false">
      <c r="A4" s="5" t="n">
        <f aca="false">'R1 respuestas'!A4</f>
        <v>3</v>
      </c>
      <c r="B4" s="6" t="str">
        <f aca="false">IF(TRIM('R1 respuestas'!B4)="","",IF(ISNUMBER(SEARCH("|"&amp;UPPER(TRIM('R1 respuestas'!B4))&amp;"|","|A|B|C|D|E|F|G|")),UPPER(TRIM('R1 respuestas'!B4)),"INVÁLIDO"))</f>
        <v/>
      </c>
      <c r="C4" s="6" t="str">
        <f aca="false">IF(TRIM('R2 respuestas'!B4)="","",IF(ISNUMBER(SEARCH("|"&amp;UPPER(TRIM('R2 respuestas'!B4))&amp;"|","|A|B|C|D|E|F|G|")),UPPER(TRIM('R2 respuestas'!B4)),"INVÁLIDO"))</f>
        <v/>
      </c>
      <c r="D4" s="6" t="str">
        <f aca="false">IF(OR(B4="",C4="",B4="INVÁLIDO",C4="INVÁLIDO"),"",IF(B4=C4,"sí","no"))</f>
        <v/>
      </c>
      <c r="E4" s="4"/>
      <c r="F4" s="6" t="str">
        <f aca="false">IF(OR(B4="",C4=""),"FALTA RESPUESTA",IF(OR(B4="INVÁLIDO",C4="INVÁLIDO"),"CÓDIGO INVÁLIDO",IF(IF(TRIM(E4)="","",IF(ISNUMBER(SEARCH("|"&amp;UPPER(TRIM(E4))&amp;"|","|A|B|C|D|E|F|G|")),UPPER(TRIM(E4)),"INVÁLIDO"))="INVÁLIDO","CONSENSO INVÁLIDO",IF(AND(D4="no",IF(TRIM(E4)="","",IF(ISNUMBER(SEARCH("|"&amp;UPPER(TRIM(E4))&amp;"|","|A|B|C|D|E|F|G|")),UPPER(TRIM(E4)),"INVÁLIDO"))=""),"FALTA CONSENSO",""))))</f>
        <v>FALTA RESPUESTA</v>
      </c>
      <c r="G4" s="5" t="str">
        <f aca="false">IF(F4&lt;&gt;"","",IF(IF(TRIM(E4)="","",IF(ISNUMBER(SEARCH("|"&amp;UPPER(TRIM(E4))&amp;"|","|A|B|C|D|E|F|G|")),UPPER(TRIM(E4)),"INVÁLIDO"))&lt;&gt;"",IF(TRIM(E4)="","",IF(ISNUMBER(SEARCH("|"&amp;UPPER(TRIM(E4))&amp;"|","|A|B|C|D|E|F|G|")),UPPER(TRIM(E4)),"INVÁLIDO")),B4))</f>
        <v/>
      </c>
      <c r="H4" s="2" t="s">
        <v>25</v>
      </c>
      <c r="I4" s="2" t="n">
        <f aca="false">COUNTIF(B2:B29,"INVÁLIDO")+COUNTIF(C2:C29,"INVÁLIDO")</f>
        <v>0</v>
      </c>
    </row>
    <row r="5" customFormat="false" ht="15" hidden="false" customHeight="false" outlineLevel="0" collapsed="false">
      <c r="A5" s="5" t="n">
        <f aca="false">'R1 respuestas'!A5</f>
        <v>4</v>
      </c>
      <c r="B5" s="6" t="str">
        <f aca="false">IF(TRIM('R1 respuestas'!B5)="","",IF(ISNUMBER(SEARCH("|"&amp;UPPER(TRIM('R1 respuestas'!B5))&amp;"|","|A|B|C|D|E|F|G|")),UPPER(TRIM('R1 respuestas'!B5)),"INVÁLIDO"))</f>
        <v/>
      </c>
      <c r="C5" s="6" t="str">
        <f aca="false">IF(TRIM('R2 respuestas'!B5)="","",IF(ISNUMBER(SEARCH("|"&amp;UPPER(TRIM('R2 respuestas'!B5))&amp;"|","|A|B|C|D|E|F|G|")),UPPER(TRIM('R2 respuestas'!B5)),"INVÁLIDO"))</f>
        <v/>
      </c>
      <c r="D5" s="6" t="str">
        <f aca="false">IF(OR(B5="",C5="",B5="INVÁLIDO",C5="INVÁLIDO"),"",IF(B5=C5,"sí","no"))</f>
        <v/>
      </c>
      <c r="E5" s="4"/>
      <c r="F5" s="6" t="str">
        <f aca="false">IF(OR(B5="",C5=""),"FALTA RESPUESTA",IF(OR(B5="INVÁLIDO",C5="INVÁLIDO"),"CÓDIGO INVÁLIDO",IF(IF(TRIM(E5)="","",IF(ISNUMBER(SEARCH("|"&amp;UPPER(TRIM(E5))&amp;"|","|A|B|C|D|E|F|G|")),UPPER(TRIM(E5)),"INVÁLIDO"))="INVÁLIDO","CONSENSO INVÁLIDO",IF(AND(D5="no",IF(TRIM(E5)="","",IF(ISNUMBER(SEARCH("|"&amp;UPPER(TRIM(E5))&amp;"|","|A|B|C|D|E|F|G|")),UPPER(TRIM(E5)),"INVÁLIDO"))=""),"FALTA CONSENSO",""))))</f>
        <v>FALTA RESPUESTA</v>
      </c>
      <c r="G5" s="5" t="str">
        <f aca="false">IF(F5&lt;&gt;"","",IF(IF(TRIM(E5)="","",IF(ISNUMBER(SEARCH("|"&amp;UPPER(TRIM(E5))&amp;"|","|A|B|C|D|E|F|G|")),UPPER(TRIM(E5)),"INVÁLIDO"))&lt;&gt;"",IF(TRIM(E5)="","",IF(ISNUMBER(SEARCH("|"&amp;UPPER(TRIM(E5))&amp;"|","|A|B|C|D|E|F|G|")),UPPER(TRIM(E5)),"INVÁLIDO")),B5))</f>
        <v/>
      </c>
      <c r="H5" s="2" t="s">
        <v>26</v>
      </c>
      <c r="I5" s="2" t="n">
        <f aca="false">COUNTIF(F2:F29,"FALTA CONSENSO")</f>
        <v>0</v>
      </c>
    </row>
    <row r="6" customFormat="false" ht="15" hidden="false" customHeight="false" outlineLevel="0" collapsed="false">
      <c r="A6" s="5" t="n">
        <f aca="false">'R1 respuestas'!A6</f>
        <v>5</v>
      </c>
      <c r="B6" s="6" t="str">
        <f aca="false">IF(TRIM('R1 respuestas'!B6)="","",IF(ISNUMBER(SEARCH("|"&amp;UPPER(TRIM('R1 respuestas'!B6))&amp;"|","|A|B|C|D|E|F|G|")),UPPER(TRIM('R1 respuestas'!B6)),"INVÁLIDO"))</f>
        <v/>
      </c>
      <c r="C6" s="6" t="str">
        <f aca="false">IF(TRIM('R2 respuestas'!B6)="","",IF(ISNUMBER(SEARCH("|"&amp;UPPER(TRIM('R2 respuestas'!B6))&amp;"|","|A|B|C|D|E|F|G|")),UPPER(TRIM('R2 respuestas'!B6)),"INVÁLIDO"))</f>
        <v/>
      </c>
      <c r="D6" s="6" t="str">
        <f aca="false">IF(OR(B6="",C6="",B6="INVÁLIDO",C6="INVÁLIDO"),"",IF(B6=C6,"sí","no"))</f>
        <v/>
      </c>
      <c r="E6" s="4"/>
      <c r="F6" s="6" t="str">
        <f aca="false">IF(OR(B6="",C6=""),"FALTA RESPUESTA",IF(OR(B6="INVÁLIDO",C6="INVÁLIDO"),"CÓDIGO INVÁLIDO",IF(IF(TRIM(E6)="","",IF(ISNUMBER(SEARCH("|"&amp;UPPER(TRIM(E6))&amp;"|","|A|B|C|D|E|F|G|")),UPPER(TRIM(E6)),"INVÁLIDO"))="INVÁLIDO","CONSENSO INVÁLIDO",IF(AND(D6="no",IF(TRIM(E6)="","",IF(ISNUMBER(SEARCH("|"&amp;UPPER(TRIM(E6))&amp;"|","|A|B|C|D|E|F|G|")),UPPER(TRIM(E6)),"INVÁLIDO"))=""),"FALTA CONSENSO",""))))</f>
        <v>FALTA RESPUESTA</v>
      </c>
      <c r="G6" s="5" t="str">
        <f aca="false">IF(F6&lt;&gt;"","",IF(IF(TRIM(E6)="","",IF(ISNUMBER(SEARCH("|"&amp;UPPER(TRIM(E6))&amp;"|","|A|B|C|D|E|F|G|")),UPPER(TRIM(E6)),"INVÁLIDO"))&lt;&gt;"",IF(TRIM(E6)="","",IF(ISNUMBER(SEARCH("|"&amp;UPPER(TRIM(E6))&amp;"|","|A|B|C|D|E|F|G|")),UPPER(TRIM(E6)),"INVÁLIDO")),B6))</f>
        <v/>
      </c>
      <c r="H6" s="2" t="s">
        <v>27</v>
      </c>
      <c r="I6" s="2" t="n">
        <f aca="false">COUNTIF(F2:F29,"CONSENSO INVÁLIDO")</f>
        <v>0</v>
      </c>
    </row>
    <row r="7" customFormat="false" ht="15" hidden="false" customHeight="false" outlineLevel="0" collapsed="false">
      <c r="A7" s="5" t="n">
        <f aca="false">'R1 respuestas'!A7</f>
        <v>6</v>
      </c>
      <c r="B7" s="6" t="str">
        <f aca="false">IF(TRIM('R1 respuestas'!B7)="","",IF(ISNUMBER(SEARCH("|"&amp;UPPER(TRIM('R1 respuestas'!B7))&amp;"|","|A|B|C|D|E|F|G|")),UPPER(TRIM('R1 respuestas'!B7)),"INVÁLIDO"))</f>
        <v/>
      </c>
      <c r="C7" s="6" t="str">
        <f aca="false">IF(TRIM('R2 respuestas'!B7)="","",IF(ISNUMBER(SEARCH("|"&amp;UPPER(TRIM('R2 respuestas'!B7))&amp;"|","|A|B|C|D|E|F|G|")),UPPER(TRIM('R2 respuestas'!B7)),"INVÁLIDO"))</f>
        <v/>
      </c>
      <c r="D7" s="6" t="str">
        <f aca="false">IF(OR(B7="",C7="",B7="INVÁLIDO",C7="INVÁLIDO"),"",IF(B7=C7,"sí","no"))</f>
        <v/>
      </c>
      <c r="E7" s="4"/>
      <c r="F7" s="6" t="str">
        <f aca="false">IF(OR(B7="",C7=""),"FALTA RESPUESTA",IF(OR(B7="INVÁLIDO",C7="INVÁLIDO"),"CÓDIGO INVÁLIDO",IF(IF(TRIM(E7)="","",IF(ISNUMBER(SEARCH("|"&amp;UPPER(TRIM(E7))&amp;"|","|A|B|C|D|E|F|G|")),UPPER(TRIM(E7)),"INVÁLIDO"))="INVÁLIDO","CONSENSO INVÁLIDO",IF(AND(D7="no",IF(TRIM(E7)="","",IF(ISNUMBER(SEARCH("|"&amp;UPPER(TRIM(E7))&amp;"|","|A|B|C|D|E|F|G|")),UPPER(TRIM(E7)),"INVÁLIDO"))=""),"FALTA CONSENSO",""))))</f>
        <v>FALTA RESPUESTA</v>
      </c>
      <c r="G7" s="5" t="str">
        <f aca="false">IF(F7&lt;&gt;"","",IF(IF(TRIM(E7)="","",IF(ISNUMBER(SEARCH("|"&amp;UPPER(TRIM(E7))&amp;"|","|A|B|C|D|E|F|G|")),UPPER(TRIM(E7)),"INVÁLIDO"))&lt;&gt;"",IF(TRIM(E7)="","",IF(ISNUMBER(SEARCH("|"&amp;UPPER(TRIM(E7))&amp;"|","|A|B|C|D|E|F|G|")),UPPER(TRIM(E7)),"INVÁLIDO")),B7))</f>
        <v/>
      </c>
      <c r="H7" s="2" t="s">
        <v>28</v>
      </c>
      <c r="I7" s="2" t="n">
        <f aca="false">COUNTIF(G2:G29,"?*")</f>
        <v>0</v>
      </c>
    </row>
    <row r="8" customFormat="false" ht="15" hidden="false" customHeight="false" outlineLevel="0" collapsed="false">
      <c r="A8" s="5" t="n">
        <f aca="false">'R1 respuestas'!A8</f>
        <v>7</v>
      </c>
      <c r="B8" s="6" t="str">
        <f aca="false">IF(TRIM('R1 respuestas'!B8)="","",IF(ISNUMBER(SEARCH("|"&amp;UPPER(TRIM('R1 respuestas'!B8))&amp;"|","|A|B|C|D|E|F|G|")),UPPER(TRIM('R1 respuestas'!B8)),"INVÁLIDO"))</f>
        <v/>
      </c>
      <c r="C8" s="6" t="str">
        <f aca="false">IF(TRIM('R2 respuestas'!B8)="","",IF(ISNUMBER(SEARCH("|"&amp;UPPER(TRIM('R2 respuestas'!B8))&amp;"|","|A|B|C|D|E|F|G|")),UPPER(TRIM('R2 respuestas'!B8)),"INVÁLIDO"))</f>
        <v/>
      </c>
      <c r="D8" s="6" t="str">
        <f aca="false">IF(OR(B8="",C8="",B8="INVÁLIDO",C8="INVÁLIDO"),"",IF(B8=C8,"sí","no"))</f>
        <v/>
      </c>
      <c r="E8" s="4"/>
      <c r="F8" s="6" t="str">
        <f aca="false">IF(OR(B8="",C8=""),"FALTA RESPUESTA",IF(OR(B8="INVÁLIDO",C8="INVÁLIDO"),"CÓDIGO INVÁLIDO",IF(IF(TRIM(E8)="","",IF(ISNUMBER(SEARCH("|"&amp;UPPER(TRIM(E8))&amp;"|","|A|B|C|D|E|F|G|")),UPPER(TRIM(E8)),"INVÁLIDO"))="INVÁLIDO","CONSENSO INVÁLIDO",IF(AND(D8="no",IF(TRIM(E8)="","",IF(ISNUMBER(SEARCH("|"&amp;UPPER(TRIM(E8))&amp;"|","|A|B|C|D|E|F|G|")),UPPER(TRIM(E8)),"INVÁLIDO"))=""),"FALTA CONSENSO",""))))</f>
        <v>FALTA RESPUESTA</v>
      </c>
      <c r="G8" s="5" t="str">
        <f aca="false">IF(F8&lt;&gt;"","",IF(IF(TRIM(E8)="","",IF(ISNUMBER(SEARCH("|"&amp;UPPER(TRIM(E8))&amp;"|","|A|B|C|D|E|F|G|")),UPPER(TRIM(E8)),"INVÁLIDO"))&lt;&gt;"",IF(TRIM(E8)="","",IF(ISNUMBER(SEARCH("|"&amp;UPPER(TRIM(E8))&amp;"|","|A|B|C|D|E|F|G|")),UPPER(TRIM(E8)),"INVÁLIDO")),B8))</f>
        <v/>
      </c>
      <c r="H8" s="1" t="s">
        <v>29</v>
      </c>
      <c r="I8" s="1" t="str">
        <f aca="false">IF(AND(I7=28,COUNTIF(F2:F29,"?*")=0),"CERRADO","incompleto")</f>
        <v>incompleto</v>
      </c>
    </row>
    <row r="9" customFormat="false" ht="15" hidden="false" customHeight="false" outlineLevel="0" collapsed="false">
      <c r="A9" s="5" t="n">
        <f aca="false">'R1 respuestas'!A9</f>
        <v>8</v>
      </c>
      <c r="B9" s="6" t="str">
        <f aca="false">IF(TRIM('R1 respuestas'!B9)="","",IF(ISNUMBER(SEARCH("|"&amp;UPPER(TRIM('R1 respuestas'!B9))&amp;"|","|A|B|C|D|E|F|G|")),UPPER(TRIM('R1 respuestas'!B9)),"INVÁLIDO"))</f>
        <v/>
      </c>
      <c r="C9" s="6" t="str">
        <f aca="false">IF(TRIM('R2 respuestas'!B9)="","",IF(ISNUMBER(SEARCH("|"&amp;UPPER(TRIM('R2 respuestas'!B9))&amp;"|","|A|B|C|D|E|F|G|")),UPPER(TRIM('R2 respuestas'!B9)),"INVÁLIDO"))</f>
        <v/>
      </c>
      <c r="D9" s="6" t="str">
        <f aca="false">IF(OR(B9="",C9="",B9="INVÁLIDO",C9="INVÁLIDO"),"",IF(B9=C9,"sí","no"))</f>
        <v/>
      </c>
      <c r="E9" s="4"/>
      <c r="F9" s="6" t="str">
        <f aca="false">IF(OR(B9="",C9=""),"FALTA RESPUESTA",IF(OR(B9="INVÁLIDO",C9="INVÁLIDO"),"CÓDIGO INVÁLIDO",IF(IF(TRIM(E9)="","",IF(ISNUMBER(SEARCH("|"&amp;UPPER(TRIM(E9))&amp;"|","|A|B|C|D|E|F|G|")),UPPER(TRIM(E9)),"INVÁLIDO"))="INVÁLIDO","CONSENSO INVÁLIDO",IF(AND(D9="no",IF(TRIM(E9)="","",IF(ISNUMBER(SEARCH("|"&amp;UPPER(TRIM(E9))&amp;"|","|A|B|C|D|E|F|G|")),UPPER(TRIM(E9)),"INVÁLIDO"))=""),"FALTA CONSENSO",""))))</f>
        <v>FALTA RESPUESTA</v>
      </c>
      <c r="G9" s="5" t="str">
        <f aca="false">IF(F9&lt;&gt;"","",IF(IF(TRIM(E9)="","",IF(ISNUMBER(SEARCH("|"&amp;UPPER(TRIM(E9))&amp;"|","|A|B|C|D|E|F|G|")),UPPER(TRIM(E9)),"INVÁLIDO"))&lt;&gt;"",IF(TRIM(E9)="","",IF(ISNUMBER(SEARCH("|"&amp;UPPER(TRIM(E9))&amp;"|","|A|B|C|D|E|F|G|")),UPPER(TRIM(E9)),"INVÁLIDO")),B9))</f>
        <v/>
      </c>
    </row>
    <row r="10" customFormat="false" ht="15" hidden="false" customHeight="false" outlineLevel="0" collapsed="false">
      <c r="A10" s="5" t="n">
        <f aca="false">'R1 respuestas'!A10</f>
        <v>9</v>
      </c>
      <c r="B10" s="6" t="str">
        <f aca="false">IF(TRIM('R1 respuestas'!B10)="","",IF(ISNUMBER(SEARCH("|"&amp;UPPER(TRIM('R1 respuestas'!B10))&amp;"|","|A|B|C|D|E|F|G|")),UPPER(TRIM('R1 respuestas'!B10)),"INVÁLIDO"))</f>
        <v/>
      </c>
      <c r="C10" s="6" t="str">
        <f aca="false">IF(TRIM('R2 respuestas'!B10)="","",IF(ISNUMBER(SEARCH("|"&amp;UPPER(TRIM('R2 respuestas'!B10))&amp;"|","|A|B|C|D|E|F|G|")),UPPER(TRIM('R2 respuestas'!B10)),"INVÁLIDO"))</f>
        <v/>
      </c>
      <c r="D10" s="6" t="str">
        <f aca="false">IF(OR(B10="",C10="",B10="INVÁLIDO",C10="INVÁLIDO"),"",IF(B10=C10,"sí","no"))</f>
        <v/>
      </c>
      <c r="E10" s="4"/>
      <c r="F10" s="6" t="str">
        <f aca="false">IF(OR(B10="",C10=""),"FALTA RESPUESTA",IF(OR(B10="INVÁLIDO",C10="INVÁLIDO"),"CÓDIGO INVÁLIDO",IF(IF(TRIM(E10)="","",IF(ISNUMBER(SEARCH("|"&amp;UPPER(TRIM(E10))&amp;"|","|A|B|C|D|E|F|G|")),UPPER(TRIM(E10)),"INVÁLIDO"))="INVÁLIDO","CONSENSO INVÁLIDO",IF(AND(D10="no",IF(TRIM(E10)="","",IF(ISNUMBER(SEARCH("|"&amp;UPPER(TRIM(E10))&amp;"|","|A|B|C|D|E|F|G|")),UPPER(TRIM(E10)),"INVÁLIDO"))=""),"FALTA CONSENSO",""))))</f>
        <v>FALTA RESPUESTA</v>
      </c>
      <c r="G10" s="5" t="str">
        <f aca="false">IF(F10&lt;&gt;"","",IF(IF(TRIM(E10)="","",IF(ISNUMBER(SEARCH("|"&amp;UPPER(TRIM(E10))&amp;"|","|A|B|C|D|E|F|G|")),UPPER(TRIM(E10)),"INVÁLIDO"))&lt;&gt;"",IF(TRIM(E10)="","",IF(ISNUMBER(SEARCH("|"&amp;UPPER(TRIM(E10))&amp;"|","|A|B|C|D|E|F|G|")),UPPER(TRIM(E10)),"INVÁLIDO")),B10))</f>
        <v/>
      </c>
      <c r="H10" s="1" t="s">
        <v>30</v>
      </c>
    </row>
    <row r="11" customFormat="false" ht="15" hidden="false" customHeight="false" outlineLevel="0" collapsed="false">
      <c r="A11" s="5" t="n">
        <f aca="false">'R1 respuestas'!A11</f>
        <v>10</v>
      </c>
      <c r="B11" s="6" t="str">
        <f aca="false">IF(TRIM('R1 respuestas'!B11)="","",IF(ISNUMBER(SEARCH("|"&amp;UPPER(TRIM('R1 respuestas'!B11))&amp;"|","|A|B|C|D|E|F|G|")),UPPER(TRIM('R1 respuestas'!B11)),"INVÁLIDO"))</f>
        <v/>
      </c>
      <c r="C11" s="6" t="str">
        <f aca="false">IF(TRIM('R2 respuestas'!B11)="","",IF(ISNUMBER(SEARCH("|"&amp;UPPER(TRIM('R2 respuestas'!B11))&amp;"|","|A|B|C|D|E|F|G|")),UPPER(TRIM('R2 respuestas'!B11)),"INVÁLIDO"))</f>
        <v/>
      </c>
      <c r="D11" s="6" t="str">
        <f aca="false">IF(OR(B11="",C11="",B11="INVÁLIDO",C11="INVÁLIDO"),"",IF(B11=C11,"sí","no"))</f>
        <v/>
      </c>
      <c r="E11" s="4"/>
      <c r="F11" s="6" t="str">
        <f aca="false">IF(OR(B11="",C11=""),"FALTA RESPUESTA",IF(OR(B11="INVÁLIDO",C11="INVÁLIDO"),"CÓDIGO INVÁLIDO",IF(IF(TRIM(E11)="","",IF(ISNUMBER(SEARCH("|"&amp;UPPER(TRIM(E11))&amp;"|","|A|B|C|D|E|F|G|")),UPPER(TRIM(E11)),"INVÁLIDO"))="INVÁLIDO","CONSENSO INVÁLIDO",IF(AND(D11="no",IF(TRIM(E11)="","",IF(ISNUMBER(SEARCH("|"&amp;UPPER(TRIM(E11))&amp;"|","|A|B|C|D|E|F|G|")),UPPER(TRIM(E11)),"INVÁLIDO"))=""),"FALTA CONSENSO",""))))</f>
        <v>FALTA RESPUESTA</v>
      </c>
      <c r="G11" s="5" t="str">
        <f aca="false">IF(F11&lt;&gt;"","",IF(IF(TRIM(E11)="","",IF(ISNUMBER(SEARCH("|"&amp;UPPER(TRIM(E11))&amp;"|","|A|B|C|D|E|F|G|")),UPPER(TRIM(E11)),"INVÁLIDO"))&lt;&gt;"",IF(TRIM(E11)="","",IF(ISNUMBER(SEARCH("|"&amp;UPPER(TRIM(E11))&amp;"|","|A|B|C|D|E|F|G|")),UPPER(TRIM(E11)),"INVÁLIDO")),B11))</f>
        <v/>
      </c>
      <c r="H11" s="2" t="s">
        <v>31</v>
      </c>
      <c r="I11" s="2" t="n">
        <f aca="false">COUNTIF(D2:D29,"sí")+COUNTIF(D2:D29,"no")</f>
        <v>0</v>
      </c>
    </row>
    <row r="12" customFormat="false" ht="15" hidden="false" customHeight="false" outlineLevel="0" collapsed="false">
      <c r="A12" s="5" t="n">
        <f aca="false">'R1 respuestas'!A12</f>
        <v>11</v>
      </c>
      <c r="B12" s="6" t="str">
        <f aca="false">IF(TRIM('R1 respuestas'!B12)="","",IF(ISNUMBER(SEARCH("|"&amp;UPPER(TRIM('R1 respuestas'!B12))&amp;"|","|A|B|C|D|E|F|G|")),UPPER(TRIM('R1 respuestas'!B12)),"INVÁLIDO"))</f>
        <v/>
      </c>
      <c r="C12" s="6" t="str">
        <f aca="false">IF(TRIM('R2 respuestas'!B12)="","",IF(ISNUMBER(SEARCH("|"&amp;UPPER(TRIM('R2 respuestas'!B12))&amp;"|","|A|B|C|D|E|F|G|")),UPPER(TRIM('R2 respuestas'!B12)),"INVÁLIDO"))</f>
        <v/>
      </c>
      <c r="D12" s="6" t="str">
        <f aca="false">IF(OR(B12="",C12="",B12="INVÁLIDO",C12="INVÁLIDO"),"",IF(B12=C12,"sí","no"))</f>
        <v/>
      </c>
      <c r="E12" s="4"/>
      <c r="F12" s="6" t="str">
        <f aca="false">IF(OR(B12="",C12=""),"FALTA RESPUESTA",IF(OR(B12="INVÁLIDO",C12="INVÁLIDO"),"CÓDIGO INVÁLIDO",IF(IF(TRIM(E12)="","",IF(ISNUMBER(SEARCH("|"&amp;UPPER(TRIM(E12))&amp;"|","|A|B|C|D|E|F|G|")),UPPER(TRIM(E12)),"INVÁLIDO"))="INVÁLIDO","CONSENSO INVÁLIDO",IF(AND(D12="no",IF(TRIM(E12)="","",IF(ISNUMBER(SEARCH("|"&amp;UPPER(TRIM(E12))&amp;"|","|A|B|C|D|E|F|G|")),UPPER(TRIM(E12)),"INVÁLIDO"))=""),"FALTA CONSENSO",""))))</f>
        <v>FALTA RESPUESTA</v>
      </c>
      <c r="G12" s="5" t="str">
        <f aca="false">IF(F12&lt;&gt;"","",IF(IF(TRIM(E12)="","",IF(ISNUMBER(SEARCH("|"&amp;UPPER(TRIM(E12))&amp;"|","|A|B|C|D|E|F|G|")),UPPER(TRIM(E12)),"INVÁLIDO"))&lt;&gt;"",IF(TRIM(E12)="","",IF(ISNUMBER(SEARCH("|"&amp;UPPER(TRIM(E12))&amp;"|","|A|B|C|D|E|F|G|")),UPPER(TRIM(E12)),"INVÁLIDO")),B12))</f>
        <v/>
      </c>
      <c r="H12" s="2" t="s">
        <v>32</v>
      </c>
      <c r="I12" s="2" t="n">
        <f aca="false">COUNTIF(D2:D29,"sí")</f>
        <v>0</v>
      </c>
    </row>
    <row r="13" customFormat="false" ht="15" hidden="false" customHeight="false" outlineLevel="0" collapsed="false">
      <c r="A13" s="5" t="n">
        <f aca="false">'R1 respuestas'!A13</f>
        <v>12</v>
      </c>
      <c r="B13" s="6" t="str">
        <f aca="false">IF(TRIM('R1 respuestas'!B13)="","",IF(ISNUMBER(SEARCH("|"&amp;UPPER(TRIM('R1 respuestas'!B13))&amp;"|","|A|B|C|D|E|F|G|")),UPPER(TRIM('R1 respuestas'!B13)),"INVÁLIDO"))</f>
        <v/>
      </c>
      <c r="C13" s="6" t="str">
        <f aca="false">IF(TRIM('R2 respuestas'!B13)="","",IF(ISNUMBER(SEARCH("|"&amp;UPPER(TRIM('R2 respuestas'!B13))&amp;"|","|A|B|C|D|E|F|G|")),UPPER(TRIM('R2 respuestas'!B13)),"INVÁLIDO"))</f>
        <v/>
      </c>
      <c r="D13" s="6" t="str">
        <f aca="false">IF(OR(B13="",C13="",B13="INVÁLIDO",C13="INVÁLIDO"),"",IF(B13=C13,"sí","no"))</f>
        <v/>
      </c>
      <c r="E13" s="4"/>
      <c r="F13" s="6" t="str">
        <f aca="false">IF(OR(B13="",C13=""),"FALTA RESPUESTA",IF(OR(B13="INVÁLIDO",C13="INVÁLIDO"),"CÓDIGO INVÁLIDO",IF(IF(TRIM(E13)="","",IF(ISNUMBER(SEARCH("|"&amp;UPPER(TRIM(E13))&amp;"|","|A|B|C|D|E|F|G|")),UPPER(TRIM(E13)),"INVÁLIDO"))="INVÁLIDO","CONSENSO INVÁLIDO",IF(AND(D13="no",IF(TRIM(E13)="","",IF(ISNUMBER(SEARCH("|"&amp;UPPER(TRIM(E13))&amp;"|","|A|B|C|D|E|F|G|")),UPPER(TRIM(E13)),"INVÁLIDO"))=""),"FALTA CONSENSO",""))))</f>
        <v>FALTA RESPUESTA</v>
      </c>
      <c r="G13" s="5" t="str">
        <f aca="false">IF(F13&lt;&gt;"","",IF(IF(TRIM(E13)="","",IF(ISNUMBER(SEARCH("|"&amp;UPPER(TRIM(E13))&amp;"|","|A|B|C|D|E|F|G|")),UPPER(TRIM(E13)),"INVÁLIDO"))&lt;&gt;"",IF(TRIM(E13)="","",IF(ISNUMBER(SEARCH("|"&amp;UPPER(TRIM(E13))&amp;"|","|A|B|C|D|E|F|G|")),UPPER(TRIM(E13)),"INVÁLIDO")),B13))</f>
        <v/>
      </c>
      <c r="H13" s="2" t="s">
        <v>33</v>
      </c>
      <c r="I13" s="7" t="str">
        <f aca="false">IF(I11=0,"",I12/I11)</f>
        <v/>
      </c>
    </row>
    <row r="14" customFormat="false" ht="15" hidden="false" customHeight="false" outlineLevel="0" collapsed="false">
      <c r="A14" s="5" t="n">
        <f aca="false">'R1 respuestas'!A14</f>
        <v>13</v>
      </c>
      <c r="B14" s="6" t="str">
        <f aca="false">IF(TRIM('R1 respuestas'!B14)="","",IF(ISNUMBER(SEARCH("|"&amp;UPPER(TRIM('R1 respuestas'!B14))&amp;"|","|A|B|C|D|E|F|G|")),UPPER(TRIM('R1 respuestas'!B14)),"INVÁLIDO"))</f>
        <v/>
      </c>
      <c r="C14" s="6" t="str">
        <f aca="false">IF(TRIM('R2 respuestas'!B14)="","",IF(ISNUMBER(SEARCH("|"&amp;UPPER(TRIM('R2 respuestas'!B14))&amp;"|","|A|B|C|D|E|F|G|")),UPPER(TRIM('R2 respuestas'!B14)),"INVÁLIDO"))</f>
        <v/>
      </c>
      <c r="D14" s="6" t="str">
        <f aca="false">IF(OR(B14="",C14="",B14="INVÁLIDO",C14="INVÁLIDO"),"",IF(B14=C14,"sí","no"))</f>
        <v/>
      </c>
      <c r="E14" s="4"/>
      <c r="F14" s="6" t="str">
        <f aca="false">IF(OR(B14="",C14=""),"FALTA RESPUESTA",IF(OR(B14="INVÁLIDO",C14="INVÁLIDO"),"CÓDIGO INVÁLIDO",IF(IF(TRIM(E14)="","",IF(ISNUMBER(SEARCH("|"&amp;UPPER(TRIM(E14))&amp;"|","|A|B|C|D|E|F|G|")),UPPER(TRIM(E14)),"INVÁLIDO"))="INVÁLIDO","CONSENSO INVÁLIDO",IF(AND(D14="no",IF(TRIM(E14)="","",IF(ISNUMBER(SEARCH("|"&amp;UPPER(TRIM(E14))&amp;"|","|A|B|C|D|E|F|G|")),UPPER(TRIM(E14)),"INVÁLIDO"))=""),"FALTA CONSENSO",""))))</f>
        <v>FALTA RESPUESTA</v>
      </c>
      <c r="G14" s="5" t="str">
        <f aca="false">IF(F14&lt;&gt;"","",IF(IF(TRIM(E14)="","",IF(ISNUMBER(SEARCH("|"&amp;UPPER(TRIM(E14))&amp;"|","|A|B|C|D|E|F|G|")),UPPER(TRIM(E14)),"INVÁLIDO"))&lt;&gt;"",IF(TRIM(E14)="","",IF(ISNUMBER(SEARCH("|"&amp;UPPER(TRIM(E14))&amp;"|","|A|B|C|D|E|F|G|")),UPPER(TRIM(E14)),"INVÁLIDO")),B14))</f>
        <v/>
      </c>
      <c r="H14" s="2" t="s">
        <v>34</v>
      </c>
      <c r="I14" s="7" t="str">
        <f aca="false">IF(I11=0,"",SUM(R25:R31)/I11^2)</f>
        <v/>
      </c>
    </row>
    <row r="15" customFormat="false" ht="15" hidden="false" customHeight="false" outlineLevel="0" collapsed="false">
      <c r="A15" s="5" t="n">
        <f aca="false">'R1 respuestas'!A15</f>
        <v>14</v>
      </c>
      <c r="B15" s="6" t="str">
        <f aca="false">IF(TRIM('R1 respuestas'!B15)="","",IF(ISNUMBER(SEARCH("|"&amp;UPPER(TRIM('R1 respuestas'!B15))&amp;"|","|A|B|C|D|E|F|G|")),UPPER(TRIM('R1 respuestas'!B15)),"INVÁLIDO"))</f>
        <v/>
      </c>
      <c r="C15" s="6" t="str">
        <f aca="false">IF(TRIM('R2 respuestas'!B15)="","",IF(ISNUMBER(SEARCH("|"&amp;UPPER(TRIM('R2 respuestas'!B15))&amp;"|","|A|B|C|D|E|F|G|")),UPPER(TRIM('R2 respuestas'!B15)),"INVÁLIDO"))</f>
        <v/>
      </c>
      <c r="D15" s="6" t="str">
        <f aca="false">IF(OR(B15="",C15="",B15="INVÁLIDO",C15="INVÁLIDO"),"",IF(B15=C15,"sí","no"))</f>
        <v/>
      </c>
      <c r="E15" s="4"/>
      <c r="F15" s="6" t="str">
        <f aca="false">IF(OR(B15="",C15=""),"FALTA RESPUESTA",IF(OR(B15="INVÁLIDO",C15="INVÁLIDO"),"CÓDIGO INVÁLIDO",IF(IF(TRIM(E15)="","",IF(ISNUMBER(SEARCH("|"&amp;UPPER(TRIM(E15))&amp;"|","|A|B|C|D|E|F|G|")),UPPER(TRIM(E15)),"INVÁLIDO"))="INVÁLIDO","CONSENSO INVÁLIDO",IF(AND(D15="no",IF(TRIM(E15)="","",IF(ISNUMBER(SEARCH("|"&amp;UPPER(TRIM(E15))&amp;"|","|A|B|C|D|E|F|G|")),UPPER(TRIM(E15)),"INVÁLIDO"))=""),"FALTA CONSENSO",""))))</f>
        <v>FALTA RESPUESTA</v>
      </c>
      <c r="G15" s="5" t="str">
        <f aca="false">IF(F15&lt;&gt;"","",IF(IF(TRIM(E15)="","",IF(ISNUMBER(SEARCH("|"&amp;UPPER(TRIM(E15))&amp;"|","|A|B|C|D|E|F|G|")),UPPER(TRIM(E15)),"INVÁLIDO"))&lt;&gt;"",IF(TRIM(E15)="","",IF(ISNUMBER(SEARCH("|"&amp;UPPER(TRIM(E15))&amp;"|","|A|B|C|D|E|F|G|")),UPPER(TRIM(E15)),"INVÁLIDO")),B15))</f>
        <v/>
      </c>
      <c r="H15" s="1" t="s">
        <v>35</v>
      </c>
      <c r="I15" s="8" t="str">
        <f aca="false">IF(OR(I11=0,I14=1),"",(I13-I14)/(1-I14))</f>
        <v/>
      </c>
    </row>
    <row r="16" customFormat="false" ht="15" hidden="false" customHeight="false" outlineLevel="0" collapsed="false">
      <c r="A16" s="5" t="n">
        <f aca="false">'R1 respuestas'!A16</f>
        <v>15</v>
      </c>
      <c r="B16" s="6" t="str">
        <f aca="false">IF(TRIM('R1 respuestas'!B16)="","",IF(ISNUMBER(SEARCH("|"&amp;UPPER(TRIM('R1 respuestas'!B16))&amp;"|","|A|B|C|D|E|F|G|")),UPPER(TRIM('R1 respuestas'!B16)),"INVÁLIDO"))</f>
        <v/>
      </c>
      <c r="C16" s="6" t="str">
        <f aca="false">IF(TRIM('R2 respuestas'!B16)="","",IF(ISNUMBER(SEARCH("|"&amp;UPPER(TRIM('R2 respuestas'!B16))&amp;"|","|A|B|C|D|E|F|G|")),UPPER(TRIM('R2 respuestas'!B16)),"INVÁLIDO"))</f>
        <v/>
      </c>
      <c r="D16" s="6" t="str">
        <f aca="false">IF(OR(B16="",C16="",B16="INVÁLIDO",C16="INVÁLIDO"),"",IF(B16=C16,"sí","no"))</f>
        <v/>
      </c>
      <c r="E16" s="4"/>
      <c r="F16" s="6" t="str">
        <f aca="false">IF(OR(B16="",C16=""),"FALTA RESPUESTA",IF(OR(B16="INVÁLIDO",C16="INVÁLIDO"),"CÓDIGO INVÁLIDO",IF(IF(TRIM(E16)="","",IF(ISNUMBER(SEARCH("|"&amp;UPPER(TRIM(E16))&amp;"|","|A|B|C|D|E|F|G|")),UPPER(TRIM(E16)),"INVÁLIDO"))="INVÁLIDO","CONSENSO INVÁLIDO",IF(AND(D16="no",IF(TRIM(E16)="","",IF(ISNUMBER(SEARCH("|"&amp;UPPER(TRIM(E16))&amp;"|","|A|B|C|D|E|F|G|")),UPPER(TRIM(E16)),"INVÁLIDO"))=""),"FALTA CONSENSO",""))))</f>
        <v>FALTA RESPUESTA</v>
      </c>
      <c r="G16" s="5" t="str">
        <f aca="false">IF(F16&lt;&gt;"","",IF(IF(TRIM(E16)="","",IF(ISNUMBER(SEARCH("|"&amp;UPPER(TRIM(E16))&amp;"|","|A|B|C|D|E|F|G|")),UPPER(TRIM(E16)),"INVÁLIDO"))&lt;&gt;"",IF(TRIM(E16)="","",IF(ISNUMBER(SEARCH("|"&amp;UPPER(TRIM(E16))&amp;"|","|A|B|C|D|E|F|G|")),UPPER(TRIM(E16)),"INVÁLIDO")),B16))</f>
        <v/>
      </c>
      <c r="H16" s="1" t="s">
        <v>36</v>
      </c>
    </row>
    <row r="17" customFormat="false" ht="15" hidden="false" customHeight="false" outlineLevel="0" collapsed="false">
      <c r="A17" s="5" t="n">
        <f aca="false">'R1 respuestas'!A17</f>
        <v>16</v>
      </c>
      <c r="B17" s="6" t="str">
        <f aca="false">IF(TRIM('R1 respuestas'!B17)="","",IF(ISNUMBER(SEARCH("|"&amp;UPPER(TRIM('R1 respuestas'!B17))&amp;"|","|A|B|C|D|E|F|G|")),UPPER(TRIM('R1 respuestas'!B17)),"INVÁLIDO"))</f>
        <v/>
      </c>
      <c r="C17" s="6" t="str">
        <f aca="false">IF(TRIM('R2 respuestas'!B17)="","",IF(ISNUMBER(SEARCH("|"&amp;UPPER(TRIM('R2 respuestas'!B17))&amp;"|","|A|B|C|D|E|F|G|")),UPPER(TRIM('R2 respuestas'!B17)),"INVÁLIDO"))</f>
        <v/>
      </c>
      <c r="D17" s="6" t="str">
        <f aca="false">IF(OR(B17="",C17="",B17="INVÁLIDO",C17="INVÁLIDO"),"",IF(B17=C17,"sí","no"))</f>
        <v/>
      </c>
      <c r="E17" s="4"/>
      <c r="F17" s="6" t="str">
        <f aca="false">IF(OR(B17="",C17=""),"FALTA RESPUESTA",IF(OR(B17="INVÁLIDO",C17="INVÁLIDO"),"CÓDIGO INVÁLIDO",IF(IF(TRIM(E17)="","",IF(ISNUMBER(SEARCH("|"&amp;UPPER(TRIM(E17))&amp;"|","|A|B|C|D|E|F|G|")),UPPER(TRIM(E17)),"INVÁLIDO"))="INVÁLIDO","CONSENSO INVÁLIDO",IF(AND(D17="no",IF(TRIM(E17)="","",IF(ISNUMBER(SEARCH("|"&amp;UPPER(TRIM(E17))&amp;"|","|A|B|C|D|E|F|G|")),UPPER(TRIM(E17)),"INVÁLIDO"))=""),"FALTA CONSENSO",""))))</f>
        <v>FALTA RESPUESTA</v>
      </c>
      <c r="G17" s="5" t="str">
        <f aca="false">IF(F17&lt;&gt;"","",IF(IF(TRIM(E17)="","",IF(ISNUMBER(SEARCH("|"&amp;UPPER(TRIM(E17))&amp;"|","|A|B|C|D|E|F|G|")),UPPER(TRIM(E17)),"INVÁLIDO"))&lt;&gt;"",IF(TRIM(E17)="","",IF(ISNUMBER(SEARCH("|"&amp;UPPER(TRIM(E17))&amp;"|","|A|B|C|D|E|F|G|")),UPPER(TRIM(E17)),"INVÁLIDO")),B17))</f>
        <v/>
      </c>
    </row>
    <row r="18" customFormat="false" ht="15" hidden="false" customHeight="false" outlineLevel="0" collapsed="false">
      <c r="A18" s="5" t="n">
        <f aca="false">'R1 respuestas'!A18</f>
        <v>17</v>
      </c>
      <c r="B18" s="6" t="str">
        <f aca="false">IF(TRIM('R1 respuestas'!B18)="","",IF(ISNUMBER(SEARCH("|"&amp;UPPER(TRIM('R1 respuestas'!B18))&amp;"|","|A|B|C|D|E|F|G|")),UPPER(TRIM('R1 respuestas'!B18)),"INVÁLIDO"))</f>
        <v/>
      </c>
      <c r="C18" s="6" t="str">
        <f aca="false">IF(TRIM('R2 respuestas'!B18)="","",IF(ISNUMBER(SEARCH("|"&amp;UPPER(TRIM('R2 respuestas'!B18))&amp;"|","|A|B|C|D|E|F|G|")),UPPER(TRIM('R2 respuestas'!B18)),"INVÁLIDO"))</f>
        <v/>
      </c>
      <c r="D18" s="6" t="str">
        <f aca="false">IF(OR(B18="",C18="",B18="INVÁLIDO",C18="INVÁLIDO"),"",IF(B18=C18,"sí","no"))</f>
        <v/>
      </c>
      <c r="E18" s="4"/>
      <c r="F18" s="6" t="str">
        <f aca="false">IF(OR(B18="",C18=""),"FALTA RESPUESTA",IF(OR(B18="INVÁLIDO",C18="INVÁLIDO"),"CÓDIGO INVÁLIDO",IF(IF(TRIM(E18)="","",IF(ISNUMBER(SEARCH("|"&amp;UPPER(TRIM(E18))&amp;"|","|A|B|C|D|E|F|G|")),UPPER(TRIM(E18)),"INVÁLIDO"))="INVÁLIDO","CONSENSO INVÁLIDO",IF(AND(D18="no",IF(TRIM(E18)="","",IF(ISNUMBER(SEARCH("|"&amp;UPPER(TRIM(E18))&amp;"|","|A|B|C|D|E|F|G|")),UPPER(TRIM(E18)),"INVÁLIDO"))=""),"FALTA CONSENSO",""))))</f>
        <v>FALTA RESPUESTA</v>
      </c>
      <c r="G18" s="5" t="str">
        <f aca="false">IF(F18&lt;&gt;"","",IF(IF(TRIM(E18)="","",IF(ISNUMBER(SEARCH("|"&amp;UPPER(TRIM(E18))&amp;"|","|A|B|C|D|E|F|G|")),UPPER(TRIM(E18)),"INVÁLIDO"))&lt;&gt;"",IF(TRIM(E18)="","",IF(ISNUMBER(SEARCH("|"&amp;UPPER(TRIM(E18))&amp;"|","|A|B|C|D|E|F|G|")),UPPER(TRIM(E18)),"INVÁLIDO")),B18))</f>
        <v/>
      </c>
      <c r="H18" s="1" t="s">
        <v>37</v>
      </c>
    </row>
    <row r="19" customFormat="false" ht="15" hidden="false" customHeight="false" outlineLevel="0" collapsed="false">
      <c r="A19" s="5" t="n">
        <f aca="false">'R1 respuestas'!A19</f>
        <v>18</v>
      </c>
      <c r="B19" s="6" t="str">
        <f aca="false">IF(TRIM('R1 respuestas'!B19)="","",IF(ISNUMBER(SEARCH("|"&amp;UPPER(TRIM('R1 respuestas'!B19))&amp;"|","|A|B|C|D|E|F|G|")),UPPER(TRIM('R1 respuestas'!B19)),"INVÁLIDO"))</f>
        <v/>
      </c>
      <c r="C19" s="6" t="str">
        <f aca="false">IF(TRIM('R2 respuestas'!B19)="","",IF(ISNUMBER(SEARCH("|"&amp;UPPER(TRIM('R2 respuestas'!B19))&amp;"|","|A|B|C|D|E|F|G|")),UPPER(TRIM('R2 respuestas'!B19)),"INVÁLIDO"))</f>
        <v/>
      </c>
      <c r="D19" s="6" t="str">
        <f aca="false">IF(OR(B19="",C19="",B19="INVÁLIDO",C19="INVÁLIDO"),"",IF(B19=C19,"sí","no"))</f>
        <v/>
      </c>
      <c r="E19" s="4"/>
      <c r="F19" s="6" t="str">
        <f aca="false">IF(OR(B19="",C19=""),"FALTA RESPUESTA",IF(OR(B19="INVÁLIDO",C19="INVÁLIDO"),"CÓDIGO INVÁLIDO",IF(IF(TRIM(E19)="","",IF(ISNUMBER(SEARCH("|"&amp;UPPER(TRIM(E19))&amp;"|","|A|B|C|D|E|F|G|")),UPPER(TRIM(E19)),"INVÁLIDO"))="INVÁLIDO","CONSENSO INVÁLIDO",IF(AND(D19="no",IF(TRIM(E19)="","",IF(ISNUMBER(SEARCH("|"&amp;UPPER(TRIM(E19))&amp;"|","|A|B|C|D|E|F|G|")),UPPER(TRIM(E19)),"INVÁLIDO"))=""),"FALTA CONSENSO",""))))</f>
        <v>FALTA RESPUESTA</v>
      </c>
      <c r="G19" s="5" t="str">
        <f aca="false">IF(F19&lt;&gt;"","",IF(IF(TRIM(E19)="","",IF(ISNUMBER(SEARCH("|"&amp;UPPER(TRIM(E19))&amp;"|","|A|B|C|D|E|F|G|")),UPPER(TRIM(E19)),"INVÁLIDO"))&lt;&gt;"",IF(TRIM(E19)="","",IF(ISNUMBER(SEARCH("|"&amp;UPPER(TRIM(E19))&amp;"|","|A|B|C|D|E|F|G|")),UPPER(TRIM(E19)),"INVÁLIDO")),B19))</f>
        <v/>
      </c>
      <c r="H19" s="2" t="s">
        <v>38</v>
      </c>
      <c r="I19" s="9" t="str">
        <f aca="false">IF(I15="","",SQRT(MAX(0,SUM(S25:Y31)-(I15-I14*(1-I15))^2)/(I11*(1-I14)^2)))</f>
        <v/>
      </c>
    </row>
    <row r="20" customFormat="false" ht="15" hidden="false" customHeight="false" outlineLevel="0" collapsed="false">
      <c r="A20" s="5" t="n">
        <f aca="false">'R1 respuestas'!A20</f>
        <v>19</v>
      </c>
      <c r="B20" s="6" t="str">
        <f aca="false">IF(TRIM('R1 respuestas'!B20)="","",IF(ISNUMBER(SEARCH("|"&amp;UPPER(TRIM('R1 respuestas'!B20))&amp;"|","|A|B|C|D|E|F|G|")),UPPER(TRIM('R1 respuestas'!B20)),"INVÁLIDO"))</f>
        <v/>
      </c>
      <c r="C20" s="6" t="str">
        <f aca="false">IF(TRIM('R2 respuestas'!B20)="","",IF(ISNUMBER(SEARCH("|"&amp;UPPER(TRIM('R2 respuestas'!B20))&amp;"|","|A|B|C|D|E|F|G|")),UPPER(TRIM('R2 respuestas'!B20)),"INVÁLIDO"))</f>
        <v/>
      </c>
      <c r="D20" s="6" t="str">
        <f aca="false">IF(OR(B20="",C20="",B20="INVÁLIDO",C20="INVÁLIDO"),"",IF(B20=C20,"sí","no"))</f>
        <v/>
      </c>
      <c r="E20" s="4"/>
      <c r="F20" s="6" t="str">
        <f aca="false">IF(OR(B20="",C20=""),"FALTA RESPUESTA",IF(OR(B20="INVÁLIDO",C20="INVÁLIDO"),"CÓDIGO INVÁLIDO",IF(IF(TRIM(E20)="","",IF(ISNUMBER(SEARCH("|"&amp;UPPER(TRIM(E20))&amp;"|","|A|B|C|D|E|F|G|")),UPPER(TRIM(E20)),"INVÁLIDO"))="INVÁLIDO","CONSENSO INVÁLIDO",IF(AND(D20="no",IF(TRIM(E20)="","",IF(ISNUMBER(SEARCH("|"&amp;UPPER(TRIM(E20))&amp;"|","|A|B|C|D|E|F|G|")),UPPER(TRIM(E20)),"INVÁLIDO"))=""),"FALTA CONSENSO",""))))</f>
        <v>FALTA RESPUESTA</v>
      </c>
      <c r="G20" s="5" t="str">
        <f aca="false">IF(F20&lt;&gt;"","",IF(IF(TRIM(E20)="","",IF(ISNUMBER(SEARCH("|"&amp;UPPER(TRIM(E20))&amp;"|","|A|B|C|D|E|F|G|")),UPPER(TRIM(E20)),"INVÁLIDO"))&lt;&gt;"",IF(TRIM(E20)="","",IF(ISNUMBER(SEARCH("|"&amp;UPPER(TRIM(E20))&amp;"|","|A|B|C|D|E|F|G|")),UPPER(TRIM(E20)),"INVÁLIDO")),B20))</f>
        <v/>
      </c>
      <c r="H20" s="2" t="s">
        <v>39</v>
      </c>
      <c r="I20" s="10" t="str">
        <f aca="false">IF(I19="","",MAX(-1,I15-1.96*I19))</f>
        <v/>
      </c>
    </row>
    <row r="21" customFormat="false" ht="15" hidden="false" customHeight="false" outlineLevel="0" collapsed="false">
      <c r="A21" s="5" t="n">
        <f aca="false">'R1 respuestas'!A21</f>
        <v>20</v>
      </c>
      <c r="B21" s="6" t="str">
        <f aca="false">IF(TRIM('R1 respuestas'!B21)="","",IF(ISNUMBER(SEARCH("|"&amp;UPPER(TRIM('R1 respuestas'!B21))&amp;"|","|A|B|C|D|E|F|G|")),UPPER(TRIM('R1 respuestas'!B21)),"INVÁLIDO"))</f>
        <v/>
      </c>
      <c r="C21" s="6" t="str">
        <f aca="false">IF(TRIM('R2 respuestas'!B21)="","",IF(ISNUMBER(SEARCH("|"&amp;UPPER(TRIM('R2 respuestas'!B21))&amp;"|","|A|B|C|D|E|F|G|")),UPPER(TRIM('R2 respuestas'!B21)),"INVÁLIDO"))</f>
        <v/>
      </c>
      <c r="D21" s="6" t="str">
        <f aca="false">IF(OR(B21="",C21="",B21="INVÁLIDO",C21="INVÁLIDO"),"",IF(B21=C21,"sí","no"))</f>
        <v/>
      </c>
      <c r="E21" s="4"/>
      <c r="F21" s="6" t="str">
        <f aca="false">IF(OR(B21="",C21=""),"FALTA RESPUESTA",IF(OR(B21="INVÁLIDO",C21="INVÁLIDO"),"CÓDIGO INVÁLIDO",IF(IF(TRIM(E21)="","",IF(ISNUMBER(SEARCH("|"&amp;UPPER(TRIM(E21))&amp;"|","|A|B|C|D|E|F|G|")),UPPER(TRIM(E21)),"INVÁLIDO"))="INVÁLIDO","CONSENSO INVÁLIDO",IF(AND(D21="no",IF(TRIM(E21)="","",IF(ISNUMBER(SEARCH("|"&amp;UPPER(TRIM(E21))&amp;"|","|A|B|C|D|E|F|G|")),UPPER(TRIM(E21)),"INVÁLIDO"))=""),"FALTA CONSENSO",""))))</f>
        <v>FALTA RESPUESTA</v>
      </c>
      <c r="G21" s="5" t="str">
        <f aca="false">IF(F21&lt;&gt;"","",IF(IF(TRIM(E21)="","",IF(ISNUMBER(SEARCH("|"&amp;UPPER(TRIM(E21))&amp;"|","|A|B|C|D|E|F|G|")),UPPER(TRIM(E21)),"INVÁLIDO"))&lt;&gt;"",IF(TRIM(E21)="","",IF(ISNUMBER(SEARCH("|"&amp;UPPER(TRIM(E21))&amp;"|","|A|B|C|D|E|F|G|")),UPPER(TRIM(E21)),"INVÁLIDO")),B21))</f>
        <v/>
      </c>
      <c r="H21" s="2" t="s">
        <v>40</v>
      </c>
      <c r="I21" s="10" t="str">
        <f aca="false">IF(I19="","",MIN(1,I15+1.96*I19))</f>
        <v/>
      </c>
    </row>
    <row r="22" customFormat="false" ht="15" hidden="false" customHeight="false" outlineLevel="0" collapsed="false">
      <c r="A22" s="5" t="n">
        <f aca="false">'R1 respuestas'!A22</f>
        <v>21</v>
      </c>
      <c r="B22" s="6" t="str">
        <f aca="false">IF(TRIM('R1 respuestas'!B22)="","",IF(ISNUMBER(SEARCH("|"&amp;UPPER(TRIM('R1 respuestas'!B22))&amp;"|","|A|B|C|D|E|F|G|")),UPPER(TRIM('R1 respuestas'!B22)),"INVÁLIDO"))</f>
        <v/>
      </c>
      <c r="C22" s="6" t="str">
        <f aca="false">IF(TRIM('R2 respuestas'!B22)="","",IF(ISNUMBER(SEARCH("|"&amp;UPPER(TRIM('R2 respuestas'!B22))&amp;"|","|A|B|C|D|E|F|G|")),UPPER(TRIM('R2 respuestas'!B22)),"INVÁLIDO"))</f>
        <v/>
      </c>
      <c r="D22" s="6" t="str">
        <f aca="false">IF(OR(B22="",C22="",B22="INVÁLIDO",C22="INVÁLIDO"),"",IF(B22=C22,"sí","no"))</f>
        <v/>
      </c>
      <c r="E22" s="4"/>
      <c r="F22" s="6" t="str">
        <f aca="false">IF(OR(B22="",C22=""),"FALTA RESPUESTA",IF(OR(B22="INVÁLIDO",C22="INVÁLIDO"),"CÓDIGO INVÁLIDO",IF(IF(TRIM(E22)="","",IF(ISNUMBER(SEARCH("|"&amp;UPPER(TRIM(E22))&amp;"|","|A|B|C|D|E|F|G|")),UPPER(TRIM(E22)),"INVÁLIDO"))="INVÁLIDO","CONSENSO INVÁLIDO",IF(AND(D22="no",IF(TRIM(E22)="","",IF(ISNUMBER(SEARCH("|"&amp;UPPER(TRIM(E22))&amp;"|","|A|B|C|D|E|F|G|")),UPPER(TRIM(E22)),"INVÁLIDO"))=""),"FALTA CONSENSO",""))))</f>
        <v>FALTA RESPUESTA</v>
      </c>
      <c r="G22" s="5" t="str">
        <f aca="false">IF(F22&lt;&gt;"","",IF(IF(TRIM(E22)="","",IF(ISNUMBER(SEARCH("|"&amp;UPPER(TRIM(E22))&amp;"|","|A|B|C|D|E|F|G|")),UPPER(TRIM(E22)),"INVÁLIDO"))&lt;&gt;"",IF(TRIM(E22)="","",IF(ISNUMBER(SEARCH("|"&amp;UPPER(TRIM(E22))&amp;"|","|A|B|C|D|E|F|G|")),UPPER(TRIM(E22)),"INVÁLIDO")),B22))</f>
        <v/>
      </c>
    </row>
    <row r="23" customFormat="false" ht="15" hidden="false" customHeight="false" outlineLevel="0" collapsed="false">
      <c r="A23" s="5" t="n">
        <f aca="false">'R1 respuestas'!A23</f>
        <v>22</v>
      </c>
      <c r="B23" s="6" t="str">
        <f aca="false">IF(TRIM('R1 respuestas'!B23)="","",IF(ISNUMBER(SEARCH("|"&amp;UPPER(TRIM('R1 respuestas'!B23))&amp;"|","|A|B|C|D|E|F|G|")),UPPER(TRIM('R1 respuestas'!B23)),"INVÁLIDO"))</f>
        <v/>
      </c>
      <c r="C23" s="6" t="str">
        <f aca="false">IF(TRIM('R2 respuestas'!B23)="","",IF(ISNUMBER(SEARCH("|"&amp;UPPER(TRIM('R2 respuestas'!B23))&amp;"|","|A|B|C|D|E|F|G|")),UPPER(TRIM('R2 respuestas'!B23)),"INVÁLIDO"))</f>
        <v/>
      </c>
      <c r="D23" s="6" t="str">
        <f aca="false">IF(OR(B23="",C23="",B23="INVÁLIDO",C23="INVÁLIDO"),"",IF(B23=C23,"sí","no"))</f>
        <v/>
      </c>
      <c r="E23" s="4"/>
      <c r="F23" s="6" t="str">
        <f aca="false">IF(OR(B23="",C23=""),"FALTA RESPUESTA",IF(OR(B23="INVÁLIDO",C23="INVÁLIDO"),"CÓDIGO INVÁLIDO",IF(IF(TRIM(E23)="","",IF(ISNUMBER(SEARCH("|"&amp;UPPER(TRIM(E23))&amp;"|","|A|B|C|D|E|F|G|")),UPPER(TRIM(E23)),"INVÁLIDO"))="INVÁLIDO","CONSENSO INVÁLIDO",IF(AND(D23="no",IF(TRIM(E23)="","",IF(ISNUMBER(SEARCH("|"&amp;UPPER(TRIM(E23))&amp;"|","|A|B|C|D|E|F|G|")),UPPER(TRIM(E23)),"INVÁLIDO"))=""),"FALTA CONSENSO",""))))</f>
        <v>FALTA RESPUESTA</v>
      </c>
      <c r="G23" s="5" t="str">
        <f aca="false">IF(F23&lt;&gt;"","",IF(IF(TRIM(E23)="","",IF(ISNUMBER(SEARCH("|"&amp;UPPER(TRIM(E23))&amp;"|","|A|B|C|D|E|F|G|")),UPPER(TRIM(E23)),"INVÁLIDO"))&lt;&gt;"",IF(TRIM(E23)="","",IF(ISNUMBER(SEARCH("|"&amp;UPPER(TRIM(E23))&amp;"|","|A|B|C|D|E|F|G|")),UPPER(TRIM(E23)),"INVÁLIDO")),B23))</f>
        <v/>
      </c>
      <c r="H23" s="1" t="s">
        <v>41</v>
      </c>
      <c r="S23" s="11" t="s">
        <v>42</v>
      </c>
    </row>
    <row r="24" customFormat="false" ht="15" hidden="false" customHeight="false" outlineLevel="0" collapsed="false">
      <c r="A24" s="5" t="n">
        <f aca="false">'R1 respuestas'!A24</f>
        <v>23</v>
      </c>
      <c r="B24" s="6" t="str">
        <f aca="false">IF(TRIM('R1 respuestas'!B24)="","",IF(ISNUMBER(SEARCH("|"&amp;UPPER(TRIM('R1 respuestas'!B24))&amp;"|","|A|B|C|D|E|F|G|")),UPPER(TRIM('R1 respuestas'!B24)),"INVÁLIDO"))</f>
        <v/>
      </c>
      <c r="C24" s="6" t="str">
        <f aca="false">IF(TRIM('R2 respuestas'!B24)="","",IF(ISNUMBER(SEARCH("|"&amp;UPPER(TRIM('R2 respuestas'!B24))&amp;"|","|A|B|C|D|E|F|G|")),UPPER(TRIM('R2 respuestas'!B24)),"INVÁLIDO"))</f>
        <v/>
      </c>
      <c r="D24" s="6" t="str">
        <f aca="false">IF(OR(B24="",C24="",B24="INVÁLIDO",C24="INVÁLIDO"),"",IF(B24=C24,"sí","no"))</f>
        <v/>
      </c>
      <c r="E24" s="4"/>
      <c r="F24" s="6" t="str">
        <f aca="false">IF(OR(B24="",C24=""),"FALTA RESPUESTA",IF(OR(B24="INVÁLIDO",C24="INVÁLIDO"),"CÓDIGO INVÁLIDO",IF(IF(TRIM(E24)="","",IF(ISNUMBER(SEARCH("|"&amp;UPPER(TRIM(E24))&amp;"|","|A|B|C|D|E|F|G|")),UPPER(TRIM(E24)),"INVÁLIDO"))="INVÁLIDO","CONSENSO INVÁLIDO",IF(AND(D24="no",IF(TRIM(E24)="","",IF(ISNUMBER(SEARCH("|"&amp;UPPER(TRIM(E24))&amp;"|","|A|B|C|D|E|F|G|")),UPPER(TRIM(E24)),"INVÁLIDO"))=""),"FALTA CONSENSO",""))))</f>
        <v>FALTA RESPUESTA</v>
      </c>
      <c r="G24" s="5" t="str">
        <f aca="false">IF(F24&lt;&gt;"","",IF(IF(TRIM(E24)="","",IF(ISNUMBER(SEARCH("|"&amp;UPPER(TRIM(E24))&amp;"|","|A|B|C|D|E|F|G|")),UPPER(TRIM(E24)),"INVÁLIDO"))&lt;&gt;"",IF(TRIM(E24)="","",IF(ISNUMBER(SEARCH("|"&amp;UPPER(TRIM(E24))&amp;"|","|A|B|C|D|E|F|G|")),UPPER(TRIM(E24)),"INVÁLIDO")),B24))</f>
        <v/>
      </c>
      <c r="H24" s="12" t="s">
        <v>43</v>
      </c>
      <c r="I24" s="13" t="s">
        <v>44</v>
      </c>
      <c r="J24" s="13" t="s">
        <v>45</v>
      </c>
      <c r="K24" s="13" t="s">
        <v>46</v>
      </c>
      <c r="L24" s="13" t="s">
        <v>47</v>
      </c>
      <c r="M24" s="13" t="s">
        <v>48</v>
      </c>
      <c r="N24" s="13" t="s">
        <v>49</v>
      </c>
      <c r="O24" s="13" t="s">
        <v>50</v>
      </c>
      <c r="P24" s="12" t="s">
        <v>51</v>
      </c>
      <c r="R24" s="1" t="s">
        <v>52</v>
      </c>
    </row>
    <row r="25" customFormat="false" ht="15" hidden="false" customHeight="false" outlineLevel="0" collapsed="false">
      <c r="A25" s="5" t="n">
        <f aca="false">'R1 respuestas'!A25</f>
        <v>24</v>
      </c>
      <c r="B25" s="6" t="str">
        <f aca="false">IF(TRIM('R1 respuestas'!B25)="","",IF(ISNUMBER(SEARCH("|"&amp;UPPER(TRIM('R1 respuestas'!B25))&amp;"|","|A|B|C|D|E|F|G|")),UPPER(TRIM('R1 respuestas'!B25)),"INVÁLIDO"))</f>
        <v/>
      </c>
      <c r="C25" s="6" t="str">
        <f aca="false">IF(TRIM('R2 respuestas'!B25)="","",IF(ISNUMBER(SEARCH("|"&amp;UPPER(TRIM('R2 respuestas'!B25))&amp;"|","|A|B|C|D|E|F|G|")),UPPER(TRIM('R2 respuestas'!B25)),"INVÁLIDO"))</f>
        <v/>
      </c>
      <c r="D25" s="6" t="str">
        <f aca="false">IF(OR(B25="",C25="",B25="INVÁLIDO",C25="INVÁLIDO"),"",IF(B25=C25,"sí","no"))</f>
        <v/>
      </c>
      <c r="E25" s="4"/>
      <c r="F25" s="6" t="str">
        <f aca="false">IF(OR(B25="",C25=""),"FALTA RESPUESTA",IF(OR(B25="INVÁLIDO",C25="INVÁLIDO"),"CÓDIGO INVÁLIDO",IF(IF(TRIM(E25)="","",IF(ISNUMBER(SEARCH("|"&amp;UPPER(TRIM(E25))&amp;"|","|A|B|C|D|E|F|G|")),UPPER(TRIM(E25)),"INVÁLIDO"))="INVÁLIDO","CONSENSO INVÁLIDO",IF(AND(D25="no",IF(TRIM(E25)="","",IF(ISNUMBER(SEARCH("|"&amp;UPPER(TRIM(E25))&amp;"|","|A|B|C|D|E|F|G|")),UPPER(TRIM(E25)),"INVÁLIDO"))=""),"FALTA CONSENSO",""))))</f>
        <v>FALTA RESPUESTA</v>
      </c>
      <c r="G25" s="5" t="str">
        <f aca="false">IF(F25&lt;&gt;"","",IF(IF(TRIM(E25)="","",IF(ISNUMBER(SEARCH("|"&amp;UPPER(TRIM(E25))&amp;"|","|A|B|C|D|E|F|G|")),UPPER(TRIM(E25)),"INVÁLIDO"))&lt;&gt;"",IF(TRIM(E25)="","",IF(ISNUMBER(SEARCH("|"&amp;UPPER(TRIM(E25))&amp;"|","|A|B|C|D|E|F|G|")),UPPER(TRIM(E25)),"INVÁLIDO")),B25))</f>
        <v/>
      </c>
      <c r="H25" s="2" t="s">
        <v>53</v>
      </c>
      <c r="I25" s="14" t="n">
        <f aca="false">COUNTIFS($B$2:$B$29,"A",$C$2:$C$29,"A")</f>
        <v>0</v>
      </c>
      <c r="J25" s="15" t="n">
        <f aca="false">COUNTIFS($B$2:$B$29,"A",$C$2:$C$29,"B")</f>
        <v>0</v>
      </c>
      <c r="K25" s="15" t="n">
        <f aca="false">COUNTIFS($B$2:$B$29,"A",$C$2:$C$29,"C")</f>
        <v>0</v>
      </c>
      <c r="L25" s="15" t="n">
        <f aca="false">COUNTIFS($B$2:$B$29,"A",$C$2:$C$29,"D")</f>
        <v>0</v>
      </c>
      <c r="M25" s="15" t="n">
        <f aca="false">COUNTIFS($B$2:$B$29,"A",$C$2:$C$29,"E")</f>
        <v>0</v>
      </c>
      <c r="N25" s="15" t="n">
        <f aca="false">COUNTIFS($B$2:$B$29,"A",$C$2:$C$29,"F")</f>
        <v>0</v>
      </c>
      <c r="O25" s="15" t="n">
        <f aca="false">COUNTIFS($B$2:$B$29,"A",$C$2:$C$29,"G")</f>
        <v>0</v>
      </c>
      <c r="P25" s="1" t="n">
        <f aca="false">SUM(I25:O25)</f>
        <v>0</v>
      </c>
      <c r="R25" s="16" t="n">
        <f aca="false">P25*I$32</f>
        <v>0</v>
      </c>
      <c r="S25" s="17" t="n">
        <f aca="false">IF($I$15="",0,I25/$I$11*(1-(P25+I$32)/$I$11*(1-$I$15))^2)</f>
        <v>0</v>
      </c>
      <c r="T25" s="17" t="n">
        <f aca="false">IF($I$15="",0,(1-$I$15)^2*J25/$I$11*((I$32+$P$26)/$I$11)^2)</f>
        <v>0</v>
      </c>
      <c r="U25" s="17" t="n">
        <f aca="false">IF($I$15="",0,(1-$I$15)^2*K25/$I$11*((I$32+$P$27)/$I$11)^2)</f>
        <v>0</v>
      </c>
      <c r="V25" s="17" t="n">
        <f aca="false">IF($I$15="",0,(1-$I$15)^2*L25/$I$11*((I$32+$P$28)/$I$11)^2)</f>
        <v>0</v>
      </c>
      <c r="W25" s="17" t="n">
        <f aca="false">IF($I$15="",0,(1-$I$15)^2*M25/$I$11*((I$32+$P$29)/$I$11)^2)</f>
        <v>0</v>
      </c>
      <c r="X25" s="17" t="n">
        <f aca="false">IF($I$15="",0,(1-$I$15)^2*N25/$I$11*((I$32+$P$30)/$I$11)^2)</f>
        <v>0</v>
      </c>
      <c r="Y25" s="17" t="n">
        <f aca="false">IF($I$15="",0,(1-$I$15)^2*O25/$I$11*((I$32+$P$31)/$I$11)^2)</f>
        <v>0</v>
      </c>
    </row>
    <row r="26" customFormat="false" ht="15" hidden="false" customHeight="false" outlineLevel="0" collapsed="false">
      <c r="A26" s="5" t="n">
        <f aca="false">'R1 respuestas'!A26</f>
        <v>25</v>
      </c>
      <c r="B26" s="6" t="str">
        <f aca="false">IF(TRIM('R1 respuestas'!B26)="","",IF(ISNUMBER(SEARCH("|"&amp;UPPER(TRIM('R1 respuestas'!B26))&amp;"|","|A|B|C|D|E|F|G|")),UPPER(TRIM('R1 respuestas'!B26)),"INVÁLIDO"))</f>
        <v/>
      </c>
      <c r="C26" s="6" t="str">
        <f aca="false">IF(TRIM('R2 respuestas'!B26)="","",IF(ISNUMBER(SEARCH("|"&amp;UPPER(TRIM('R2 respuestas'!B26))&amp;"|","|A|B|C|D|E|F|G|")),UPPER(TRIM('R2 respuestas'!B26)),"INVÁLIDO"))</f>
        <v/>
      </c>
      <c r="D26" s="6" t="str">
        <f aca="false">IF(OR(B26="",C26="",B26="INVÁLIDO",C26="INVÁLIDO"),"",IF(B26=C26,"sí","no"))</f>
        <v/>
      </c>
      <c r="E26" s="4"/>
      <c r="F26" s="6" t="str">
        <f aca="false">IF(OR(B26="",C26=""),"FALTA RESPUESTA",IF(OR(B26="INVÁLIDO",C26="INVÁLIDO"),"CÓDIGO INVÁLIDO",IF(IF(TRIM(E26)="","",IF(ISNUMBER(SEARCH("|"&amp;UPPER(TRIM(E26))&amp;"|","|A|B|C|D|E|F|G|")),UPPER(TRIM(E26)),"INVÁLIDO"))="INVÁLIDO","CONSENSO INVÁLIDO",IF(AND(D26="no",IF(TRIM(E26)="","",IF(ISNUMBER(SEARCH("|"&amp;UPPER(TRIM(E26))&amp;"|","|A|B|C|D|E|F|G|")),UPPER(TRIM(E26)),"INVÁLIDO"))=""),"FALTA CONSENSO",""))))</f>
        <v>FALTA RESPUESTA</v>
      </c>
      <c r="G26" s="5" t="str">
        <f aca="false">IF(F26&lt;&gt;"","",IF(IF(TRIM(E26)="","",IF(ISNUMBER(SEARCH("|"&amp;UPPER(TRIM(E26))&amp;"|","|A|B|C|D|E|F|G|")),UPPER(TRIM(E26)),"INVÁLIDO"))&lt;&gt;"",IF(TRIM(E26)="","",IF(ISNUMBER(SEARCH("|"&amp;UPPER(TRIM(E26))&amp;"|","|A|B|C|D|E|F|G|")),UPPER(TRIM(E26)),"INVÁLIDO")),B26))</f>
        <v/>
      </c>
      <c r="H26" s="2" t="s">
        <v>54</v>
      </c>
      <c r="I26" s="15" t="n">
        <f aca="false">COUNTIFS($B$2:$B$29,"B",$C$2:$C$29,"A")</f>
        <v>0</v>
      </c>
      <c r="J26" s="14" t="n">
        <f aca="false">COUNTIFS($B$2:$B$29,"B",$C$2:$C$29,"B")</f>
        <v>0</v>
      </c>
      <c r="K26" s="15" t="n">
        <f aca="false">COUNTIFS($B$2:$B$29,"B",$C$2:$C$29,"C")</f>
        <v>0</v>
      </c>
      <c r="L26" s="15" t="n">
        <f aca="false">COUNTIFS($B$2:$B$29,"B",$C$2:$C$29,"D")</f>
        <v>0</v>
      </c>
      <c r="M26" s="15" t="n">
        <f aca="false">COUNTIFS($B$2:$B$29,"B",$C$2:$C$29,"E")</f>
        <v>0</v>
      </c>
      <c r="N26" s="15" t="n">
        <f aca="false">COUNTIFS($B$2:$B$29,"B",$C$2:$C$29,"F")</f>
        <v>0</v>
      </c>
      <c r="O26" s="15" t="n">
        <f aca="false">COUNTIFS($B$2:$B$29,"B",$C$2:$C$29,"G")</f>
        <v>0</v>
      </c>
      <c r="P26" s="1" t="n">
        <f aca="false">SUM(I26:O26)</f>
        <v>0</v>
      </c>
      <c r="R26" s="16" t="n">
        <f aca="false">P26*J$32</f>
        <v>0</v>
      </c>
      <c r="S26" s="17" t="n">
        <f aca="false">IF($I$15="",0,(1-$I$15)^2*I26/$I$11*((J$32+$P$25)/$I$11)^2)</f>
        <v>0</v>
      </c>
      <c r="T26" s="17" t="n">
        <f aca="false">IF($I$15="",0,J26/$I$11*(1-(P26+J$32)/$I$11*(1-$I$15))^2)</f>
        <v>0</v>
      </c>
      <c r="U26" s="17" t="n">
        <f aca="false">IF($I$15="",0,(1-$I$15)^2*K26/$I$11*((J$32+$P$27)/$I$11)^2)</f>
        <v>0</v>
      </c>
      <c r="V26" s="17" t="n">
        <f aca="false">IF($I$15="",0,(1-$I$15)^2*L26/$I$11*((J$32+$P$28)/$I$11)^2)</f>
        <v>0</v>
      </c>
      <c r="W26" s="17" t="n">
        <f aca="false">IF($I$15="",0,(1-$I$15)^2*M26/$I$11*((J$32+$P$29)/$I$11)^2)</f>
        <v>0</v>
      </c>
      <c r="X26" s="17" t="n">
        <f aca="false">IF($I$15="",0,(1-$I$15)^2*N26/$I$11*((J$32+$P$30)/$I$11)^2)</f>
        <v>0</v>
      </c>
      <c r="Y26" s="17" t="n">
        <f aca="false">IF($I$15="",0,(1-$I$15)^2*O26/$I$11*((J$32+$P$31)/$I$11)^2)</f>
        <v>0</v>
      </c>
    </row>
    <row r="27" customFormat="false" ht="15" hidden="false" customHeight="false" outlineLevel="0" collapsed="false">
      <c r="A27" s="5" t="n">
        <f aca="false">'R1 respuestas'!A27</f>
        <v>26</v>
      </c>
      <c r="B27" s="6" t="str">
        <f aca="false">IF(TRIM('R1 respuestas'!B27)="","",IF(ISNUMBER(SEARCH("|"&amp;UPPER(TRIM('R1 respuestas'!B27))&amp;"|","|A|B|C|D|E|F|G|")),UPPER(TRIM('R1 respuestas'!B27)),"INVÁLIDO"))</f>
        <v/>
      </c>
      <c r="C27" s="6" t="str">
        <f aca="false">IF(TRIM('R2 respuestas'!B27)="","",IF(ISNUMBER(SEARCH("|"&amp;UPPER(TRIM('R2 respuestas'!B27))&amp;"|","|A|B|C|D|E|F|G|")),UPPER(TRIM('R2 respuestas'!B27)),"INVÁLIDO"))</f>
        <v/>
      </c>
      <c r="D27" s="6" t="str">
        <f aca="false">IF(OR(B27="",C27="",B27="INVÁLIDO",C27="INVÁLIDO"),"",IF(B27=C27,"sí","no"))</f>
        <v/>
      </c>
      <c r="E27" s="4"/>
      <c r="F27" s="6" t="str">
        <f aca="false">IF(OR(B27="",C27=""),"FALTA RESPUESTA",IF(OR(B27="INVÁLIDO",C27="INVÁLIDO"),"CÓDIGO INVÁLIDO",IF(IF(TRIM(E27)="","",IF(ISNUMBER(SEARCH("|"&amp;UPPER(TRIM(E27))&amp;"|","|A|B|C|D|E|F|G|")),UPPER(TRIM(E27)),"INVÁLIDO"))="INVÁLIDO","CONSENSO INVÁLIDO",IF(AND(D27="no",IF(TRIM(E27)="","",IF(ISNUMBER(SEARCH("|"&amp;UPPER(TRIM(E27))&amp;"|","|A|B|C|D|E|F|G|")),UPPER(TRIM(E27)),"INVÁLIDO"))=""),"FALTA CONSENSO",""))))</f>
        <v>FALTA RESPUESTA</v>
      </c>
      <c r="G27" s="5" t="str">
        <f aca="false">IF(F27&lt;&gt;"","",IF(IF(TRIM(E27)="","",IF(ISNUMBER(SEARCH("|"&amp;UPPER(TRIM(E27))&amp;"|","|A|B|C|D|E|F|G|")),UPPER(TRIM(E27)),"INVÁLIDO"))&lt;&gt;"",IF(TRIM(E27)="","",IF(ISNUMBER(SEARCH("|"&amp;UPPER(TRIM(E27))&amp;"|","|A|B|C|D|E|F|G|")),UPPER(TRIM(E27)),"INVÁLIDO")),B27))</f>
        <v/>
      </c>
      <c r="H27" s="2" t="s">
        <v>55</v>
      </c>
      <c r="I27" s="15" t="n">
        <f aca="false">COUNTIFS($B$2:$B$29,"C",$C$2:$C$29,"A")</f>
        <v>0</v>
      </c>
      <c r="J27" s="15" t="n">
        <f aca="false">COUNTIFS($B$2:$B$29,"C",$C$2:$C$29,"B")</f>
        <v>0</v>
      </c>
      <c r="K27" s="14" t="n">
        <f aca="false">COUNTIFS($B$2:$B$29,"C",$C$2:$C$29,"C")</f>
        <v>0</v>
      </c>
      <c r="L27" s="15" t="n">
        <f aca="false">COUNTIFS($B$2:$B$29,"C",$C$2:$C$29,"D")</f>
        <v>0</v>
      </c>
      <c r="M27" s="15" t="n">
        <f aca="false">COUNTIFS($B$2:$B$29,"C",$C$2:$C$29,"E")</f>
        <v>0</v>
      </c>
      <c r="N27" s="15" t="n">
        <f aca="false">COUNTIFS($B$2:$B$29,"C",$C$2:$C$29,"F")</f>
        <v>0</v>
      </c>
      <c r="O27" s="15" t="n">
        <f aca="false">COUNTIFS($B$2:$B$29,"C",$C$2:$C$29,"G")</f>
        <v>0</v>
      </c>
      <c r="P27" s="1" t="n">
        <f aca="false">SUM(I27:O27)</f>
        <v>0</v>
      </c>
      <c r="R27" s="16" t="n">
        <f aca="false">P27*K$32</f>
        <v>0</v>
      </c>
      <c r="S27" s="17" t="n">
        <f aca="false">IF($I$15="",0,(1-$I$15)^2*I27/$I$11*((K$32+$P$25)/$I$11)^2)</f>
        <v>0</v>
      </c>
      <c r="T27" s="17" t="n">
        <f aca="false">IF($I$15="",0,(1-$I$15)^2*J27/$I$11*((K$32+$P$26)/$I$11)^2)</f>
        <v>0</v>
      </c>
      <c r="U27" s="17" t="n">
        <f aca="false">IF($I$15="",0,K27/$I$11*(1-(P27+K$32)/$I$11*(1-$I$15))^2)</f>
        <v>0</v>
      </c>
      <c r="V27" s="17" t="n">
        <f aca="false">IF($I$15="",0,(1-$I$15)^2*L27/$I$11*((K$32+$P$28)/$I$11)^2)</f>
        <v>0</v>
      </c>
      <c r="W27" s="17" t="n">
        <f aca="false">IF($I$15="",0,(1-$I$15)^2*M27/$I$11*((K$32+$P$29)/$I$11)^2)</f>
        <v>0</v>
      </c>
      <c r="X27" s="17" t="n">
        <f aca="false">IF($I$15="",0,(1-$I$15)^2*N27/$I$11*((K$32+$P$30)/$I$11)^2)</f>
        <v>0</v>
      </c>
      <c r="Y27" s="17" t="n">
        <f aca="false">IF($I$15="",0,(1-$I$15)^2*O27/$I$11*((K$32+$P$31)/$I$11)^2)</f>
        <v>0</v>
      </c>
    </row>
    <row r="28" customFormat="false" ht="15" hidden="false" customHeight="false" outlineLevel="0" collapsed="false">
      <c r="A28" s="5" t="n">
        <f aca="false">'R1 respuestas'!A28</f>
        <v>27</v>
      </c>
      <c r="B28" s="6" t="str">
        <f aca="false">IF(TRIM('R1 respuestas'!B28)="","",IF(ISNUMBER(SEARCH("|"&amp;UPPER(TRIM('R1 respuestas'!B28))&amp;"|","|A|B|C|D|E|F|G|")),UPPER(TRIM('R1 respuestas'!B28)),"INVÁLIDO"))</f>
        <v/>
      </c>
      <c r="C28" s="6" t="str">
        <f aca="false">IF(TRIM('R2 respuestas'!B28)="","",IF(ISNUMBER(SEARCH("|"&amp;UPPER(TRIM('R2 respuestas'!B28))&amp;"|","|A|B|C|D|E|F|G|")),UPPER(TRIM('R2 respuestas'!B28)),"INVÁLIDO"))</f>
        <v/>
      </c>
      <c r="D28" s="6" t="str">
        <f aca="false">IF(OR(B28="",C28="",B28="INVÁLIDO",C28="INVÁLIDO"),"",IF(B28=C28,"sí","no"))</f>
        <v/>
      </c>
      <c r="E28" s="4"/>
      <c r="F28" s="6" t="str">
        <f aca="false">IF(OR(B28="",C28=""),"FALTA RESPUESTA",IF(OR(B28="INVÁLIDO",C28="INVÁLIDO"),"CÓDIGO INVÁLIDO",IF(IF(TRIM(E28)="","",IF(ISNUMBER(SEARCH("|"&amp;UPPER(TRIM(E28))&amp;"|","|A|B|C|D|E|F|G|")),UPPER(TRIM(E28)),"INVÁLIDO"))="INVÁLIDO","CONSENSO INVÁLIDO",IF(AND(D28="no",IF(TRIM(E28)="","",IF(ISNUMBER(SEARCH("|"&amp;UPPER(TRIM(E28))&amp;"|","|A|B|C|D|E|F|G|")),UPPER(TRIM(E28)),"INVÁLIDO"))=""),"FALTA CONSENSO",""))))</f>
        <v>FALTA RESPUESTA</v>
      </c>
      <c r="G28" s="5" t="str">
        <f aca="false">IF(F28&lt;&gt;"","",IF(IF(TRIM(E28)="","",IF(ISNUMBER(SEARCH("|"&amp;UPPER(TRIM(E28))&amp;"|","|A|B|C|D|E|F|G|")),UPPER(TRIM(E28)),"INVÁLIDO"))&lt;&gt;"",IF(TRIM(E28)="","",IF(ISNUMBER(SEARCH("|"&amp;UPPER(TRIM(E28))&amp;"|","|A|B|C|D|E|F|G|")),UPPER(TRIM(E28)),"INVÁLIDO")),B28))</f>
        <v/>
      </c>
      <c r="H28" s="2" t="s">
        <v>56</v>
      </c>
      <c r="I28" s="15" t="n">
        <f aca="false">COUNTIFS($B$2:$B$29,"D",$C$2:$C$29,"A")</f>
        <v>0</v>
      </c>
      <c r="J28" s="15" t="n">
        <f aca="false">COUNTIFS($B$2:$B$29,"D",$C$2:$C$29,"B")</f>
        <v>0</v>
      </c>
      <c r="K28" s="15" t="n">
        <f aca="false">COUNTIFS($B$2:$B$29,"D",$C$2:$C$29,"C")</f>
        <v>0</v>
      </c>
      <c r="L28" s="14" t="n">
        <f aca="false">COUNTIFS($B$2:$B$29,"D",$C$2:$C$29,"D")</f>
        <v>0</v>
      </c>
      <c r="M28" s="15" t="n">
        <f aca="false">COUNTIFS($B$2:$B$29,"D",$C$2:$C$29,"E")</f>
        <v>0</v>
      </c>
      <c r="N28" s="15" t="n">
        <f aca="false">COUNTIFS($B$2:$B$29,"D",$C$2:$C$29,"F")</f>
        <v>0</v>
      </c>
      <c r="O28" s="15" t="n">
        <f aca="false">COUNTIFS($B$2:$B$29,"D",$C$2:$C$29,"G")</f>
        <v>0</v>
      </c>
      <c r="P28" s="1" t="n">
        <f aca="false">SUM(I28:O28)</f>
        <v>0</v>
      </c>
      <c r="R28" s="16" t="n">
        <f aca="false">P28*L$32</f>
        <v>0</v>
      </c>
      <c r="S28" s="17" t="n">
        <f aca="false">IF($I$15="",0,(1-$I$15)^2*I28/$I$11*((L$32+$P$25)/$I$11)^2)</f>
        <v>0</v>
      </c>
      <c r="T28" s="17" t="n">
        <f aca="false">IF($I$15="",0,(1-$I$15)^2*J28/$I$11*((L$32+$P$26)/$I$11)^2)</f>
        <v>0</v>
      </c>
      <c r="U28" s="17" t="n">
        <f aca="false">IF($I$15="",0,(1-$I$15)^2*K28/$I$11*((L$32+$P$27)/$I$11)^2)</f>
        <v>0</v>
      </c>
      <c r="V28" s="17" t="n">
        <f aca="false">IF($I$15="",0,L28/$I$11*(1-(P28+L$32)/$I$11*(1-$I$15))^2)</f>
        <v>0</v>
      </c>
      <c r="W28" s="17" t="n">
        <f aca="false">IF($I$15="",0,(1-$I$15)^2*M28/$I$11*((L$32+$P$29)/$I$11)^2)</f>
        <v>0</v>
      </c>
      <c r="X28" s="17" t="n">
        <f aca="false">IF($I$15="",0,(1-$I$15)^2*N28/$I$11*((L$32+$P$30)/$I$11)^2)</f>
        <v>0</v>
      </c>
      <c r="Y28" s="17" t="n">
        <f aca="false">IF($I$15="",0,(1-$I$15)^2*O28/$I$11*((L$32+$P$31)/$I$11)^2)</f>
        <v>0</v>
      </c>
    </row>
    <row r="29" customFormat="false" ht="15" hidden="false" customHeight="false" outlineLevel="0" collapsed="false">
      <c r="A29" s="5" t="n">
        <f aca="false">'R1 respuestas'!A29</f>
        <v>28</v>
      </c>
      <c r="B29" s="6" t="str">
        <f aca="false">IF(TRIM('R1 respuestas'!B29)="","",IF(ISNUMBER(SEARCH("|"&amp;UPPER(TRIM('R1 respuestas'!B29))&amp;"|","|A|B|C|D|E|F|G|")),UPPER(TRIM('R1 respuestas'!B29)),"INVÁLIDO"))</f>
        <v/>
      </c>
      <c r="C29" s="6" t="str">
        <f aca="false">IF(TRIM('R2 respuestas'!B29)="","",IF(ISNUMBER(SEARCH("|"&amp;UPPER(TRIM('R2 respuestas'!B29))&amp;"|","|A|B|C|D|E|F|G|")),UPPER(TRIM('R2 respuestas'!B29)),"INVÁLIDO"))</f>
        <v/>
      </c>
      <c r="D29" s="6" t="str">
        <f aca="false">IF(OR(B29="",C29="",B29="INVÁLIDO",C29="INVÁLIDO"),"",IF(B29=C29,"sí","no"))</f>
        <v/>
      </c>
      <c r="E29" s="4"/>
      <c r="F29" s="6" t="str">
        <f aca="false">IF(OR(B29="",C29=""),"FALTA RESPUESTA",IF(OR(B29="INVÁLIDO",C29="INVÁLIDO"),"CÓDIGO INVÁLIDO",IF(IF(TRIM(E29)="","",IF(ISNUMBER(SEARCH("|"&amp;UPPER(TRIM(E29))&amp;"|","|A|B|C|D|E|F|G|")),UPPER(TRIM(E29)),"INVÁLIDO"))="INVÁLIDO","CONSENSO INVÁLIDO",IF(AND(D29="no",IF(TRIM(E29)="","",IF(ISNUMBER(SEARCH("|"&amp;UPPER(TRIM(E29))&amp;"|","|A|B|C|D|E|F|G|")),UPPER(TRIM(E29)),"INVÁLIDO"))=""),"FALTA CONSENSO",""))))</f>
        <v>FALTA RESPUESTA</v>
      </c>
      <c r="G29" s="5" t="str">
        <f aca="false">IF(F29&lt;&gt;"","",IF(IF(TRIM(E29)="","",IF(ISNUMBER(SEARCH("|"&amp;UPPER(TRIM(E29))&amp;"|","|A|B|C|D|E|F|G|")),UPPER(TRIM(E29)),"INVÁLIDO"))&lt;&gt;"",IF(TRIM(E29)="","",IF(ISNUMBER(SEARCH("|"&amp;UPPER(TRIM(E29))&amp;"|","|A|B|C|D|E|F|G|")),UPPER(TRIM(E29)),"INVÁLIDO")),B29))</f>
        <v/>
      </c>
      <c r="H29" s="2" t="s">
        <v>57</v>
      </c>
      <c r="I29" s="15" t="n">
        <f aca="false">COUNTIFS($B$2:$B$29,"E",$C$2:$C$29,"A")</f>
        <v>0</v>
      </c>
      <c r="J29" s="15" t="n">
        <f aca="false">COUNTIFS($B$2:$B$29,"E",$C$2:$C$29,"B")</f>
        <v>0</v>
      </c>
      <c r="K29" s="15" t="n">
        <f aca="false">COUNTIFS($B$2:$B$29,"E",$C$2:$C$29,"C")</f>
        <v>0</v>
      </c>
      <c r="L29" s="15" t="n">
        <f aca="false">COUNTIFS($B$2:$B$29,"E",$C$2:$C$29,"D")</f>
        <v>0</v>
      </c>
      <c r="M29" s="14" t="n">
        <f aca="false">COUNTIFS($B$2:$B$29,"E",$C$2:$C$29,"E")</f>
        <v>0</v>
      </c>
      <c r="N29" s="15" t="n">
        <f aca="false">COUNTIFS($B$2:$B$29,"E",$C$2:$C$29,"F")</f>
        <v>0</v>
      </c>
      <c r="O29" s="15" t="n">
        <f aca="false">COUNTIFS($B$2:$B$29,"E",$C$2:$C$29,"G")</f>
        <v>0</v>
      </c>
      <c r="P29" s="1" t="n">
        <f aca="false">SUM(I29:O29)</f>
        <v>0</v>
      </c>
      <c r="R29" s="16" t="n">
        <f aca="false">P29*M$32</f>
        <v>0</v>
      </c>
      <c r="S29" s="17" t="n">
        <f aca="false">IF($I$15="",0,(1-$I$15)^2*I29/$I$11*((M$32+$P$25)/$I$11)^2)</f>
        <v>0</v>
      </c>
      <c r="T29" s="17" t="n">
        <f aca="false">IF($I$15="",0,(1-$I$15)^2*J29/$I$11*((M$32+$P$26)/$I$11)^2)</f>
        <v>0</v>
      </c>
      <c r="U29" s="17" t="n">
        <f aca="false">IF($I$15="",0,(1-$I$15)^2*K29/$I$11*((M$32+$P$27)/$I$11)^2)</f>
        <v>0</v>
      </c>
      <c r="V29" s="17" t="n">
        <f aca="false">IF($I$15="",0,(1-$I$15)^2*L29/$I$11*((M$32+$P$28)/$I$11)^2)</f>
        <v>0</v>
      </c>
      <c r="W29" s="17" t="n">
        <f aca="false">IF($I$15="",0,M29/$I$11*(1-(P29+M$32)/$I$11*(1-$I$15))^2)</f>
        <v>0</v>
      </c>
      <c r="X29" s="17" t="n">
        <f aca="false">IF($I$15="",0,(1-$I$15)^2*N29/$I$11*((M$32+$P$30)/$I$11)^2)</f>
        <v>0</v>
      </c>
      <c r="Y29" s="17" t="n">
        <f aca="false">IF($I$15="",0,(1-$I$15)^2*O29/$I$11*((M$32+$P$31)/$I$11)^2)</f>
        <v>0</v>
      </c>
    </row>
    <row r="30" customFormat="false" ht="15" hidden="false" customHeight="false" outlineLevel="0" collapsed="false">
      <c r="H30" s="2" t="s">
        <v>58</v>
      </c>
      <c r="I30" s="15" t="n">
        <f aca="false">COUNTIFS($B$2:$B$29,"F",$C$2:$C$29,"A")</f>
        <v>0</v>
      </c>
      <c r="J30" s="15" t="n">
        <f aca="false">COUNTIFS($B$2:$B$29,"F",$C$2:$C$29,"B")</f>
        <v>0</v>
      </c>
      <c r="K30" s="15" t="n">
        <f aca="false">COUNTIFS($B$2:$B$29,"F",$C$2:$C$29,"C")</f>
        <v>0</v>
      </c>
      <c r="L30" s="15" t="n">
        <f aca="false">COUNTIFS($B$2:$B$29,"F",$C$2:$C$29,"D")</f>
        <v>0</v>
      </c>
      <c r="M30" s="15" t="n">
        <f aca="false">COUNTIFS($B$2:$B$29,"F",$C$2:$C$29,"E")</f>
        <v>0</v>
      </c>
      <c r="N30" s="14" t="n">
        <f aca="false">COUNTIFS($B$2:$B$29,"F",$C$2:$C$29,"F")</f>
        <v>0</v>
      </c>
      <c r="O30" s="15" t="n">
        <f aca="false">COUNTIFS($B$2:$B$29,"F",$C$2:$C$29,"G")</f>
        <v>0</v>
      </c>
      <c r="P30" s="1" t="n">
        <f aca="false">SUM(I30:O30)</f>
        <v>0</v>
      </c>
      <c r="R30" s="16" t="n">
        <f aca="false">P30*N$32</f>
        <v>0</v>
      </c>
      <c r="S30" s="17" t="n">
        <f aca="false">IF($I$15="",0,(1-$I$15)^2*I30/$I$11*((N$32+$P$25)/$I$11)^2)</f>
        <v>0</v>
      </c>
      <c r="T30" s="17" t="n">
        <f aca="false">IF($I$15="",0,(1-$I$15)^2*J30/$I$11*((N$32+$P$26)/$I$11)^2)</f>
        <v>0</v>
      </c>
      <c r="U30" s="17" t="n">
        <f aca="false">IF($I$15="",0,(1-$I$15)^2*K30/$I$11*((N$32+$P$27)/$I$11)^2)</f>
        <v>0</v>
      </c>
      <c r="V30" s="17" t="n">
        <f aca="false">IF($I$15="",0,(1-$I$15)^2*L30/$I$11*((N$32+$P$28)/$I$11)^2)</f>
        <v>0</v>
      </c>
      <c r="W30" s="17" t="n">
        <f aca="false">IF($I$15="",0,(1-$I$15)^2*M30/$I$11*((N$32+$P$29)/$I$11)^2)</f>
        <v>0</v>
      </c>
      <c r="X30" s="17" t="n">
        <f aca="false">IF($I$15="",0,N30/$I$11*(1-(P30+N$32)/$I$11*(1-$I$15))^2)</f>
        <v>0</v>
      </c>
      <c r="Y30" s="17" t="n">
        <f aca="false">IF($I$15="",0,(1-$I$15)^2*O30/$I$11*((N$32+$P$31)/$I$11)^2)</f>
        <v>0</v>
      </c>
    </row>
    <row r="31" customFormat="false" ht="15" hidden="false" customHeight="false" outlineLevel="0" collapsed="false">
      <c r="H31" s="2" t="s">
        <v>59</v>
      </c>
      <c r="I31" s="15" t="n">
        <f aca="false">COUNTIFS($B$2:$B$29,"G",$C$2:$C$29,"A")</f>
        <v>0</v>
      </c>
      <c r="J31" s="15" t="n">
        <f aca="false">COUNTIFS($B$2:$B$29,"G",$C$2:$C$29,"B")</f>
        <v>0</v>
      </c>
      <c r="K31" s="15" t="n">
        <f aca="false">COUNTIFS($B$2:$B$29,"G",$C$2:$C$29,"C")</f>
        <v>0</v>
      </c>
      <c r="L31" s="15" t="n">
        <f aca="false">COUNTIFS($B$2:$B$29,"G",$C$2:$C$29,"D")</f>
        <v>0</v>
      </c>
      <c r="M31" s="15" t="n">
        <f aca="false">COUNTIFS($B$2:$B$29,"G",$C$2:$C$29,"E")</f>
        <v>0</v>
      </c>
      <c r="N31" s="15" t="n">
        <f aca="false">COUNTIFS($B$2:$B$29,"G",$C$2:$C$29,"F")</f>
        <v>0</v>
      </c>
      <c r="O31" s="14" t="n">
        <f aca="false">COUNTIFS($B$2:$B$29,"G",$C$2:$C$29,"G")</f>
        <v>0</v>
      </c>
      <c r="P31" s="1" t="n">
        <f aca="false">SUM(I31:O31)</f>
        <v>0</v>
      </c>
      <c r="R31" s="16" t="n">
        <f aca="false">P31*O$32</f>
        <v>0</v>
      </c>
      <c r="S31" s="17" t="n">
        <f aca="false">IF($I$15="",0,(1-$I$15)^2*I31/$I$11*((O$32+$P$25)/$I$11)^2)</f>
        <v>0</v>
      </c>
      <c r="T31" s="17" t="n">
        <f aca="false">IF($I$15="",0,(1-$I$15)^2*J31/$I$11*((O$32+$P$26)/$I$11)^2)</f>
        <v>0</v>
      </c>
      <c r="U31" s="17" t="n">
        <f aca="false">IF($I$15="",0,(1-$I$15)^2*K31/$I$11*((O$32+$P$27)/$I$11)^2)</f>
        <v>0</v>
      </c>
      <c r="V31" s="17" t="n">
        <f aca="false">IF($I$15="",0,(1-$I$15)^2*L31/$I$11*((O$32+$P$28)/$I$11)^2)</f>
        <v>0</v>
      </c>
      <c r="W31" s="17" t="n">
        <f aca="false">IF($I$15="",0,(1-$I$15)^2*M31/$I$11*((O$32+$P$29)/$I$11)^2)</f>
        <v>0</v>
      </c>
      <c r="X31" s="17" t="n">
        <f aca="false">IF($I$15="",0,(1-$I$15)^2*N31/$I$11*((O$32+$P$30)/$I$11)^2)</f>
        <v>0</v>
      </c>
      <c r="Y31" s="17" t="n">
        <f aca="false">IF($I$15="",0,O31/$I$11*(1-(P31+O$32)/$I$11*(1-$I$15))^2)</f>
        <v>0</v>
      </c>
    </row>
    <row r="32" customFormat="false" ht="15" hidden="false" customHeight="false" outlineLevel="0" collapsed="false">
      <c r="H32" s="1" t="s">
        <v>60</v>
      </c>
      <c r="I32" s="1" t="n">
        <f aca="false">SUM(I25:I31)</f>
        <v>0</v>
      </c>
      <c r="J32" s="1" t="n">
        <f aca="false">SUM(J25:J31)</f>
        <v>0</v>
      </c>
      <c r="K32" s="1" t="n">
        <f aca="false">SUM(K25:K31)</f>
        <v>0</v>
      </c>
      <c r="L32" s="1" t="n">
        <f aca="false">SUM(L25:L31)</f>
        <v>0</v>
      </c>
      <c r="M32" s="1" t="n">
        <f aca="false">SUM(M25:M31)</f>
        <v>0</v>
      </c>
      <c r="N32" s="1" t="n">
        <f aca="false">SUM(N25:N31)</f>
        <v>0</v>
      </c>
      <c r="O32" s="1" t="n">
        <f aca="false">SUM(O25:O31)</f>
        <v>0</v>
      </c>
      <c r="P32" s="1" t="n">
        <f aca="false">SUM(P25:P31)</f>
        <v>0</v>
      </c>
    </row>
    <row r="34" customFormat="false" ht="15" hidden="false" customHeight="false" outlineLevel="0" collapsed="false">
      <c r="H34" s="1" t="s">
        <v>61</v>
      </c>
    </row>
    <row r="35" customFormat="false" ht="15" hidden="false" customHeight="false" outlineLevel="0" collapsed="false">
      <c r="H35" s="12" t="s">
        <v>62</v>
      </c>
      <c r="I35" s="12" t="s">
        <v>63</v>
      </c>
      <c r="J35" s="12" t="s">
        <v>64</v>
      </c>
    </row>
    <row r="36" customFormat="false" ht="15" hidden="false" customHeight="false" outlineLevel="0" collapsed="false">
      <c r="H36" s="2" t="s">
        <v>53</v>
      </c>
      <c r="I36" s="2" t="n">
        <f aca="false">COUNTIF(G$2:G$29,"A")</f>
        <v>0</v>
      </c>
      <c r="J36" s="18" t="str">
        <f aca="false">IF(SUM(I$36:I$42)=0,"",I36/SUM(I$36:I$42))</f>
        <v/>
      </c>
    </row>
    <row r="37" customFormat="false" ht="15" hidden="false" customHeight="false" outlineLevel="0" collapsed="false">
      <c r="H37" s="2" t="s">
        <v>54</v>
      </c>
      <c r="I37" s="2" t="n">
        <f aca="false">COUNTIF(G$2:G$29,"B")</f>
        <v>0</v>
      </c>
      <c r="J37" s="18" t="str">
        <f aca="false">IF(SUM(I$36:I$42)=0,"",I37/SUM(I$36:I$42))</f>
        <v/>
      </c>
    </row>
    <row r="38" customFormat="false" ht="15" hidden="false" customHeight="false" outlineLevel="0" collapsed="false">
      <c r="H38" s="2" t="s">
        <v>55</v>
      </c>
      <c r="I38" s="2" t="n">
        <f aca="false">COUNTIF(G$2:G$29,"C")</f>
        <v>0</v>
      </c>
      <c r="J38" s="18" t="str">
        <f aca="false">IF(SUM(I$36:I$42)=0,"",I38/SUM(I$36:I$42))</f>
        <v/>
      </c>
    </row>
    <row r="39" customFormat="false" ht="15" hidden="false" customHeight="false" outlineLevel="0" collapsed="false">
      <c r="H39" s="2" t="s">
        <v>56</v>
      </c>
      <c r="I39" s="2" t="n">
        <f aca="false">COUNTIF(G$2:G$29,"D")</f>
        <v>0</v>
      </c>
      <c r="J39" s="18" t="str">
        <f aca="false">IF(SUM(I$36:I$42)=0,"",I39/SUM(I$36:I$42))</f>
        <v/>
      </c>
    </row>
    <row r="40" customFormat="false" ht="15" hidden="false" customHeight="false" outlineLevel="0" collapsed="false">
      <c r="H40" s="2" t="s">
        <v>57</v>
      </c>
      <c r="I40" s="2" t="n">
        <f aca="false">COUNTIF(G$2:G$29,"E")</f>
        <v>0</v>
      </c>
      <c r="J40" s="18" t="str">
        <f aca="false">IF(SUM(I$36:I$42)=0,"",I40/SUM(I$36:I$42))</f>
        <v/>
      </c>
    </row>
    <row r="41" customFormat="false" ht="15" hidden="false" customHeight="false" outlineLevel="0" collapsed="false">
      <c r="H41" s="2" t="s">
        <v>58</v>
      </c>
      <c r="I41" s="2" t="n">
        <f aca="false">COUNTIF(G$2:G$29,"F")</f>
        <v>0</v>
      </c>
      <c r="J41" s="18" t="str">
        <f aca="false">IF(SUM(I$36:I$42)=0,"",I41/SUM(I$36:I$42))</f>
        <v/>
      </c>
    </row>
    <row r="42" customFormat="false" ht="15" hidden="false" customHeight="false" outlineLevel="0" collapsed="false">
      <c r="H42" s="2" t="s">
        <v>59</v>
      </c>
      <c r="I42" s="2" t="n">
        <f aca="false">COUNTIF(G$2:G$29,"G")</f>
        <v>0</v>
      </c>
      <c r="J42" s="18" t="str">
        <f aca="false">IF(SUM(I$36:I$42)=0,"",I42/SUM(I$36:I$42))</f>
        <v/>
      </c>
    </row>
    <row r="43" customFormat="false" ht="15" hidden="false" customHeight="false" outlineLevel="0" collapsed="false">
      <c r="H43" s="11" t="s">
        <v>65</v>
      </c>
    </row>
  </sheetData>
  <conditionalFormatting sqref="B2:C29">
    <cfRule type="cellIs" priority="2" operator="equal" aboveAverage="0" equalAverage="0" bottom="0" percent="0" rank="0" text="" dxfId="0">
      <formula>"INVÁLIDO"</formula>
    </cfRule>
  </conditionalFormatting>
  <conditionalFormatting sqref="E2:E29">
    <cfRule type="cellIs" priority="3" operator="notEqual" aboveAverage="0" equalAverage="0" bottom="0" percent="0" rank="0" text="" dxfId="1">
      <formula>""</formula>
    </cfRule>
  </conditionalFormatting>
  <conditionalFormatting sqref="D2:D29">
    <cfRule type="cellIs" priority="4" operator="equal" aboveAverage="0" equalAverage="0" bottom="0" percent="0" rank="0" text="" dxfId="0">
      <formula>"no"</formula>
    </cfRule>
  </conditionalFormatting>
  <conditionalFormatting sqref="F2:F29">
    <cfRule type="cellIs" priority="5" operator="notEqual" aboveAverage="0" equalAverage="0" bottom="0" percent="0" rank="0" text="" dxfId="0">
      <formula>""</formula>
    </cfRule>
  </conditionalFormatting>
  <dataValidations count="1">
    <dataValidation allowBlank="true" errorStyle="stop" operator="between" showDropDown="false" showErrorMessage="true" showInputMessage="false" sqref="E2:E29" type="list">
      <formula1>"A,B,C,D,E,F,G"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66</v>
      </c>
    </row>
    <row r="3" customFormat="false" ht="15" hidden="false" customHeight="false" outlineLevel="0" collapsed="false">
      <c r="A3" s="1" t="s">
        <v>67</v>
      </c>
      <c r="B3" s="16" t="s">
        <v>68</v>
      </c>
    </row>
    <row r="4" customFormat="false" ht="15" hidden="false" customHeight="false" outlineLevel="0" collapsed="false">
      <c r="A4" s="1" t="s">
        <v>69</v>
      </c>
      <c r="B4" s="16" t="s">
        <v>68</v>
      </c>
    </row>
    <row r="5" customFormat="false" ht="15" hidden="false" customHeight="false" outlineLevel="0" collapsed="false">
      <c r="A5" s="1" t="s">
        <v>70</v>
      </c>
      <c r="B5" s="16" t="s">
        <v>68</v>
      </c>
    </row>
    <row r="6" customFormat="false" ht="15" hidden="false" customHeight="false" outlineLevel="0" collapsed="false">
      <c r="A6" s="1" t="s">
        <v>71</v>
      </c>
      <c r="B6" s="16" t="s">
        <v>68</v>
      </c>
    </row>
    <row r="7" customFormat="false" ht="15" hidden="false" customHeight="false" outlineLevel="0" collapsed="false">
      <c r="A7" s="1" t="s">
        <v>72</v>
      </c>
      <c r="B7" s="16" t="s">
        <v>68</v>
      </c>
    </row>
    <row r="8" customFormat="false" ht="15" hidden="false" customHeight="false" outlineLevel="0" collapsed="false">
      <c r="A8" s="1" t="s">
        <v>73</v>
      </c>
      <c r="B8" s="16" t="s">
        <v>68</v>
      </c>
    </row>
    <row r="9" customFormat="false" ht="15" hidden="false" customHeight="false" outlineLevel="0" collapsed="false">
      <c r="A9" s="1" t="s">
        <v>74</v>
      </c>
      <c r="B9" s="16" t="s">
        <v>68</v>
      </c>
    </row>
    <row r="10" customFormat="false" ht="15" hidden="false" customHeight="false" outlineLevel="0" collapsed="false">
      <c r="A10" s="1" t="s">
        <v>75</v>
      </c>
      <c r="B10" s="16" t="s">
        <v>68</v>
      </c>
    </row>
    <row r="11" customFormat="false" ht="15" hidden="false" customHeight="false" outlineLevel="0" collapsed="false">
      <c r="A11" s="1" t="s">
        <v>76</v>
      </c>
      <c r="B11" s="16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2026-10-17T16:56:18Z</dcterms:created>
  <dc:creator>openpyxl</dc:creator>
  <dc:description/>
  <dc:language>en-US</dc:language>
  <cp:lastModifiedBy/>
  <dcterms:modified xsi:type="dcterms:W3CDTF">2026-10-17T16:56:18Z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